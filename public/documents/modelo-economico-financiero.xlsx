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2025\PROYECTOS\TRL 6\"/>
    </mc:Choice>
  </mc:AlternateContent>
  <xr:revisionPtr revIDLastSave="0" documentId="13_ncr:1_{2AFCA502-F1C2-4615-9BF6-83315118733C}" xr6:coauthVersionLast="47" xr6:coauthVersionMax="47" xr10:uidLastSave="{00000000-0000-0000-0000-000000000000}"/>
  <bookViews>
    <workbookView xWindow="-120" yWindow="-120" windowWidth="20730" windowHeight="11040" tabRatio="926" xr2:uid="{00000000-000D-0000-FFFF-FFFF00000000}"/>
  </bookViews>
  <sheets>
    <sheet name="INVERSIONES" sheetId="17" r:id="rId1"/>
    <sheet name="CULTIVO" sheetId="31" r:id="rId2"/>
    <sheet name="ACOPIO" sheetId="2" r:id="rId3"/>
    <sheet name="MEMORIA COSTOS" sheetId="3" r:id="rId4"/>
    <sheet name="COSTOS TOTALES" sheetId="21" r:id="rId5"/>
    <sheet name="INGRESOS" sheetId="4" r:id="rId6"/>
    <sheet name="ESTADO RESULTADOS" sheetId="28" r:id="rId7"/>
    <sheet name="RENTABILIDAD" sheetId="29" r:id="rId8"/>
    <sheet name="PUNTO EQUILIBRIO" sheetId="23" r:id="rId9"/>
    <sheet name="REC" sheetId="26" r:id="rId10"/>
    <sheet name="CAPITAL TRABAJO" sheetId="27" r:id="rId11"/>
    <sheet name="DEPREC" sheetId="3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1" l="1"/>
  <c r="C26" i="21"/>
  <c r="D54" i="31"/>
  <c r="D53" i="31"/>
  <c r="G17" i="4" s="1"/>
  <c r="D52" i="31"/>
  <c r="E8" i="31"/>
  <c r="E7" i="31"/>
  <c r="E28" i="4"/>
  <c r="F28" i="4"/>
  <c r="G28" i="4"/>
  <c r="H28" i="4"/>
  <c r="I28" i="4"/>
  <c r="J28" i="4"/>
  <c r="K28" i="4"/>
  <c r="L28" i="4"/>
  <c r="M28" i="4"/>
  <c r="N28" i="4"/>
  <c r="C28" i="4"/>
  <c r="G8" i="3"/>
  <c r="G9" i="3"/>
  <c r="G10" i="3"/>
  <c r="G11" i="3"/>
  <c r="G13" i="3"/>
  <c r="G14" i="3"/>
  <c r="G15" i="3"/>
  <c r="D22" i="2"/>
  <c r="E22" i="2"/>
  <c r="F22" i="2"/>
  <c r="G22" i="2"/>
  <c r="H22" i="2"/>
  <c r="I22" i="2"/>
  <c r="J22" i="2"/>
  <c r="K22" i="2"/>
  <c r="L22" i="2"/>
  <c r="M22" i="2"/>
  <c r="N22" i="2"/>
  <c r="C22" i="2"/>
  <c r="D14" i="2"/>
  <c r="E14" i="2" s="1"/>
  <c r="F14" i="2" s="1"/>
  <c r="G14" i="2" s="1"/>
  <c r="H14" i="2" s="1"/>
  <c r="I14" i="2" s="1"/>
  <c r="J14" i="2" s="1"/>
  <c r="K14" i="2" s="1"/>
  <c r="L14" i="2" s="1"/>
  <c r="M14" i="2" s="1"/>
  <c r="N14" i="2" s="1"/>
  <c r="O8" i="2"/>
  <c r="P8" i="2" s="1"/>
  <c r="Q8" i="2" s="1"/>
  <c r="R8" i="2" s="1"/>
  <c r="S8" i="2" s="1"/>
  <c r="D55" i="31" l="1"/>
  <c r="G20" i="3" s="1"/>
  <c r="D18" i="4"/>
  <c r="D28" i="4" s="1"/>
  <c r="O28" i="4" s="1"/>
  <c r="D56" i="31" l="1"/>
  <c r="O18" i="4"/>
  <c r="P18" i="4" s="1"/>
  <c r="Q18" i="4" s="1"/>
  <c r="R18" i="4" s="1"/>
  <c r="S18" i="4" s="1"/>
  <c r="B28" i="4"/>
  <c r="B23" i="4"/>
  <c r="H30" i="2"/>
  <c r="D26" i="2"/>
  <c r="D30" i="2" s="1"/>
  <c r="E26" i="2"/>
  <c r="E30" i="2" s="1"/>
  <c r="F26" i="2"/>
  <c r="F30" i="2" s="1"/>
  <c r="G26" i="2"/>
  <c r="G30" i="2" s="1"/>
  <c r="H26" i="2"/>
  <c r="I26" i="2"/>
  <c r="I30" i="2" s="1"/>
  <c r="J26" i="2"/>
  <c r="J30" i="2" s="1"/>
  <c r="C26" i="2"/>
  <c r="C30" i="2" s="1"/>
  <c r="L26" i="2"/>
  <c r="L30" i="2" s="1"/>
  <c r="M26" i="2"/>
  <c r="M30" i="2" s="1"/>
  <c r="N26" i="2"/>
  <c r="N30" i="2" s="1"/>
  <c r="K26" i="2"/>
  <c r="K30" i="2" s="1"/>
  <c r="B22" i="2"/>
  <c r="B26" i="2" s="1"/>
  <c r="B30" i="2" s="1"/>
  <c r="D18" i="2"/>
  <c r="E18" i="2"/>
  <c r="F18" i="2"/>
  <c r="G18" i="2"/>
  <c r="H18" i="2"/>
  <c r="I18" i="2"/>
  <c r="J18" i="2"/>
  <c r="K18" i="2"/>
  <c r="L18" i="2"/>
  <c r="M18" i="2"/>
  <c r="N18" i="2"/>
  <c r="C18" i="2"/>
  <c r="C17" i="2"/>
  <c r="B18" i="2"/>
  <c r="B14" i="2"/>
  <c r="E9" i="31"/>
  <c r="O18" i="2" l="1"/>
  <c r="O26" i="2"/>
  <c r="O30" i="2" s="1"/>
  <c r="B18" i="21"/>
  <c r="E41" i="31"/>
  <c r="E40" i="31"/>
  <c r="E37" i="31"/>
  <c r="G37" i="31" s="1"/>
  <c r="E34" i="31"/>
  <c r="E33" i="31"/>
  <c r="E32" i="31"/>
  <c r="E31" i="31"/>
  <c r="E30" i="31"/>
  <c r="E29" i="31"/>
  <c r="E28" i="31"/>
  <c r="E24" i="31"/>
  <c r="E23" i="31"/>
  <c r="E22" i="31"/>
  <c r="E21" i="31"/>
  <c r="E20" i="31"/>
  <c r="E16" i="31"/>
  <c r="E15" i="31"/>
  <c r="E12" i="31"/>
  <c r="E42" i="31" l="1"/>
  <c r="G42" i="31" s="1"/>
  <c r="E17" i="31"/>
  <c r="G17" i="31" s="1"/>
  <c r="G12" i="31"/>
  <c r="E35" i="31"/>
  <c r="G35" i="31" s="1"/>
  <c r="E25" i="31"/>
  <c r="G25" i="31" s="1"/>
  <c r="G45" i="31" l="1"/>
  <c r="E45" i="31"/>
  <c r="E22" i="17" l="1"/>
  <c r="F22" i="17" s="1"/>
  <c r="H22" i="17" s="1"/>
  <c r="C42" i="3"/>
  <c r="C18" i="21" s="1"/>
  <c r="D21" i="2"/>
  <c r="D25" i="2" s="1"/>
  <c r="E21" i="2"/>
  <c r="E25" i="2" s="1"/>
  <c r="F21" i="2"/>
  <c r="F25" i="2" s="1"/>
  <c r="G21" i="2"/>
  <c r="G25" i="2" s="1"/>
  <c r="H21" i="2"/>
  <c r="H25" i="2" s="1"/>
  <c r="I21" i="2"/>
  <c r="I25" i="2" s="1"/>
  <c r="J21" i="2"/>
  <c r="J25" i="2" s="1"/>
  <c r="K21" i="2"/>
  <c r="K25" i="2" s="1"/>
  <c r="L21" i="2"/>
  <c r="L25" i="2" s="1"/>
  <c r="M21" i="2"/>
  <c r="M25" i="2" s="1"/>
  <c r="N21" i="2"/>
  <c r="N25" i="2" s="1"/>
  <c r="D42" i="3" l="1"/>
  <c r="N29" i="2"/>
  <c r="N24" i="2"/>
  <c r="N20" i="3" s="1"/>
  <c r="M29" i="2"/>
  <c r="L29" i="2"/>
  <c r="K29" i="2"/>
  <c r="J29" i="2"/>
  <c r="J24" i="2"/>
  <c r="J20" i="3" s="1"/>
  <c r="I29" i="2"/>
  <c r="H29" i="2"/>
  <c r="G29" i="2"/>
  <c r="G24" i="2"/>
  <c r="F29" i="2"/>
  <c r="F24" i="2"/>
  <c r="F20" i="3" s="1"/>
  <c r="E29" i="2"/>
  <c r="F6" i="17"/>
  <c r="G6" i="17" s="1"/>
  <c r="F7" i="17"/>
  <c r="F8" i="17"/>
  <c r="F9" i="17"/>
  <c r="F10" i="17"/>
  <c r="F11" i="17"/>
  <c r="F12" i="17"/>
  <c r="E42" i="3" l="1"/>
  <c r="D18" i="21"/>
  <c r="L24" i="2"/>
  <c r="L20" i="3" s="1"/>
  <c r="M24" i="2"/>
  <c r="M20" i="3" s="1"/>
  <c r="K24" i="2"/>
  <c r="K20" i="3" s="1"/>
  <c r="I24" i="2"/>
  <c r="I20" i="3" s="1"/>
  <c r="H24" i="2"/>
  <c r="H20" i="3" s="1"/>
  <c r="E24" i="2"/>
  <c r="E20" i="3" s="1"/>
  <c r="D24" i="2"/>
  <c r="D20" i="3" s="1"/>
  <c r="B7" i="30"/>
  <c r="C7" i="30"/>
  <c r="D7" i="30"/>
  <c r="E7" i="30"/>
  <c r="B8" i="30"/>
  <c r="C8" i="30"/>
  <c r="D8" i="30"/>
  <c r="E8" i="30"/>
  <c r="C6" i="30"/>
  <c r="D6" i="30"/>
  <c r="E6" i="30"/>
  <c r="B6" i="30"/>
  <c r="E25" i="29"/>
  <c r="E24" i="29"/>
  <c r="E23" i="29"/>
  <c r="E22" i="29"/>
  <c r="E21" i="29"/>
  <c r="E20" i="29"/>
  <c r="D20" i="29"/>
  <c r="B22" i="4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N27" i="4" s="1"/>
  <c r="G62" i="3"/>
  <c r="C14" i="3" s="1"/>
  <c r="G61" i="3"/>
  <c r="C13" i="3" s="1"/>
  <c r="D13" i="3" s="1"/>
  <c r="E13" i="3" s="1"/>
  <c r="F13" i="3" s="1"/>
  <c r="H13" i="3" s="1"/>
  <c r="I13" i="3" s="1"/>
  <c r="J13" i="3" s="1"/>
  <c r="K13" i="3" s="1"/>
  <c r="L13" i="3" s="1"/>
  <c r="M13" i="3" s="1"/>
  <c r="N13" i="3" s="1"/>
  <c r="G60" i="3"/>
  <c r="G12" i="3" s="1"/>
  <c r="G59" i="3"/>
  <c r="C11" i="3" s="1"/>
  <c r="D11" i="3" s="1"/>
  <c r="E11" i="3" s="1"/>
  <c r="F11" i="3" s="1"/>
  <c r="H11" i="3" s="1"/>
  <c r="I11" i="3" s="1"/>
  <c r="J11" i="3" s="1"/>
  <c r="K11" i="3" s="1"/>
  <c r="L11" i="3" s="1"/>
  <c r="M11" i="3" s="1"/>
  <c r="N11" i="3" s="1"/>
  <c r="G58" i="3"/>
  <c r="C10" i="3" s="1"/>
  <c r="D10" i="3" s="1"/>
  <c r="E10" i="3" s="1"/>
  <c r="F10" i="3" s="1"/>
  <c r="H10" i="3" s="1"/>
  <c r="I10" i="3" s="1"/>
  <c r="J10" i="3" s="1"/>
  <c r="K10" i="3" s="1"/>
  <c r="L10" i="3" s="1"/>
  <c r="M10" i="3" s="1"/>
  <c r="N10" i="3" s="1"/>
  <c r="G57" i="3"/>
  <c r="C9" i="3" s="1"/>
  <c r="D9" i="3" s="1"/>
  <c r="E9" i="3" s="1"/>
  <c r="F9" i="3" s="1"/>
  <c r="H9" i="3" s="1"/>
  <c r="I9" i="3" s="1"/>
  <c r="J9" i="3" s="1"/>
  <c r="K9" i="3" s="1"/>
  <c r="L9" i="3" s="1"/>
  <c r="M9" i="3" s="1"/>
  <c r="N9" i="3" s="1"/>
  <c r="G56" i="3"/>
  <c r="C8" i="3" s="1"/>
  <c r="D8" i="3" s="1"/>
  <c r="E8" i="3" s="1"/>
  <c r="F8" i="3" s="1"/>
  <c r="H8" i="3" s="1"/>
  <c r="I8" i="3" s="1"/>
  <c r="J8" i="3" s="1"/>
  <c r="K8" i="3" s="1"/>
  <c r="L8" i="3" s="1"/>
  <c r="M8" i="3" s="1"/>
  <c r="N8" i="3" s="1"/>
  <c r="G55" i="3"/>
  <c r="G7" i="3" s="1"/>
  <c r="G54" i="3"/>
  <c r="G6" i="3" s="1"/>
  <c r="B48" i="3"/>
  <c r="B46" i="3"/>
  <c r="B44" i="3"/>
  <c r="B20" i="21" s="1"/>
  <c r="B43" i="3"/>
  <c r="B19" i="21" s="1"/>
  <c r="B41" i="3"/>
  <c r="B17" i="21" s="1"/>
  <c r="B40" i="3"/>
  <c r="B38" i="3"/>
  <c r="B27" i="3"/>
  <c r="B14" i="3"/>
  <c r="B36" i="3" s="1"/>
  <c r="B12" i="21" s="1"/>
  <c r="B13" i="3"/>
  <c r="B35" i="3" s="1"/>
  <c r="B11" i="21" s="1"/>
  <c r="B12" i="3"/>
  <c r="B34" i="3" s="1"/>
  <c r="B10" i="21" s="1"/>
  <c r="B11" i="3"/>
  <c r="B33" i="3" s="1"/>
  <c r="B9" i="21" s="1"/>
  <c r="B10" i="3"/>
  <c r="B32" i="3" s="1"/>
  <c r="B8" i="21" s="1"/>
  <c r="B9" i="3"/>
  <c r="B31" i="3" s="1"/>
  <c r="B7" i="21" s="1"/>
  <c r="B8" i="3"/>
  <c r="B30" i="3" s="1"/>
  <c r="B6" i="21" s="1"/>
  <c r="B7" i="3"/>
  <c r="B29" i="3" s="1"/>
  <c r="B5" i="21" s="1"/>
  <c r="B6" i="3"/>
  <c r="B28" i="3" s="1"/>
  <c r="B4" i="21" s="1"/>
  <c r="C2" i="2"/>
  <c r="B1" i="3" s="1"/>
  <c r="B1" i="21" s="1"/>
  <c r="B1" i="28" s="1"/>
  <c r="B1" i="23" s="1"/>
  <c r="D13" i="2"/>
  <c r="E13" i="2" s="1"/>
  <c r="B13" i="2"/>
  <c r="F42" i="3" l="1"/>
  <c r="E18" i="21"/>
  <c r="G27" i="4"/>
  <c r="M27" i="4"/>
  <c r="G20" i="29"/>
  <c r="I27" i="4"/>
  <c r="H27" i="4"/>
  <c r="E27" i="4"/>
  <c r="F27" i="4"/>
  <c r="J27" i="4"/>
  <c r="L27" i="4"/>
  <c r="K27" i="4"/>
  <c r="F13" i="2"/>
  <c r="E17" i="2"/>
  <c r="E16" i="2" s="1"/>
  <c r="C16" i="2"/>
  <c r="C21" i="2"/>
  <c r="C25" i="2" s="1"/>
  <c r="C24" i="2" s="1"/>
  <c r="C20" i="3" s="1"/>
  <c r="F8" i="30"/>
  <c r="H8" i="30" s="1"/>
  <c r="I8" i="30" s="1"/>
  <c r="J8" i="30" s="1"/>
  <c r="F6" i="30"/>
  <c r="H6" i="30" s="1"/>
  <c r="F7" i="30"/>
  <c r="H7" i="30" s="1"/>
  <c r="I7" i="30" s="1"/>
  <c r="J7" i="30" s="1"/>
  <c r="D14" i="3"/>
  <c r="E14" i="3" s="1"/>
  <c r="F14" i="3" s="1"/>
  <c r="H14" i="3" s="1"/>
  <c r="I14" i="3" s="1"/>
  <c r="J14" i="3" s="1"/>
  <c r="K14" i="3" s="1"/>
  <c r="L14" i="3" s="1"/>
  <c r="M14" i="3" s="1"/>
  <c r="N14" i="3" s="1"/>
  <c r="O11" i="3"/>
  <c r="C33" i="3" s="1"/>
  <c r="O9" i="3"/>
  <c r="C31" i="3" s="1"/>
  <c r="O13" i="3"/>
  <c r="C35" i="3" s="1"/>
  <c r="O7" i="3"/>
  <c r="C29" i="3" s="1"/>
  <c r="O10" i="3"/>
  <c r="C32" i="3" s="1"/>
  <c r="O8" i="3"/>
  <c r="C30" i="3" s="1"/>
  <c r="K10" i="2"/>
  <c r="C10" i="2"/>
  <c r="G10" i="2"/>
  <c r="E10" i="2"/>
  <c r="M10" i="2"/>
  <c r="I10" i="2"/>
  <c r="B17" i="2"/>
  <c r="B21" i="2"/>
  <c r="B25" i="2" s="1"/>
  <c r="B29" i="2" s="1"/>
  <c r="D10" i="2"/>
  <c r="H10" i="2"/>
  <c r="L10" i="2"/>
  <c r="D17" i="2"/>
  <c r="D16" i="2" s="1"/>
  <c r="O7" i="2"/>
  <c r="P7" i="2" s="1"/>
  <c r="Q7" i="2" s="1"/>
  <c r="R7" i="2" s="1"/>
  <c r="S7" i="2" s="1"/>
  <c r="F10" i="2"/>
  <c r="J10" i="2"/>
  <c r="N10" i="2"/>
  <c r="G42" i="3" l="1"/>
  <c r="G18" i="21" s="1"/>
  <c r="F18" i="21"/>
  <c r="G13" i="2"/>
  <c r="F17" i="2"/>
  <c r="F16" i="2" s="1"/>
  <c r="D30" i="3"/>
  <c r="C6" i="21"/>
  <c r="D32" i="3"/>
  <c r="C8" i="21"/>
  <c r="D31" i="3"/>
  <c r="C7" i="21"/>
  <c r="D33" i="3"/>
  <c r="C9" i="21"/>
  <c r="D35" i="3"/>
  <c r="C11" i="21"/>
  <c r="C16" i="3"/>
  <c r="C10" i="27" s="1"/>
  <c r="F15" i="30"/>
  <c r="I6" i="30"/>
  <c r="H15" i="30"/>
  <c r="D29" i="3"/>
  <c r="C5" i="21"/>
  <c r="D29" i="2"/>
  <c r="C29" i="2"/>
  <c r="O12" i="3"/>
  <c r="C34" i="3" s="1"/>
  <c r="O14" i="3"/>
  <c r="C36" i="3" s="1"/>
  <c r="O19" i="3"/>
  <c r="C43" i="3" s="1"/>
  <c r="C19" i="21" s="1"/>
  <c r="D16" i="3"/>
  <c r="D10" i="27" s="1"/>
  <c r="O10" i="2"/>
  <c r="C18" i="3"/>
  <c r="O25" i="2"/>
  <c r="O29" i="2" s="1"/>
  <c r="D18" i="3"/>
  <c r="E18" i="3"/>
  <c r="H13" i="2" l="1"/>
  <c r="G17" i="2"/>
  <c r="G16" i="2" s="1"/>
  <c r="E32" i="3"/>
  <c r="D8" i="21"/>
  <c r="D36" i="3"/>
  <c r="C12" i="21"/>
  <c r="E33" i="3"/>
  <c r="D9" i="21"/>
  <c r="E31" i="3"/>
  <c r="D7" i="21"/>
  <c r="E30" i="3"/>
  <c r="D6" i="21"/>
  <c r="D34" i="3"/>
  <c r="C10" i="21"/>
  <c r="E35" i="3"/>
  <c r="D11" i="21"/>
  <c r="I15" i="30"/>
  <c r="J6" i="30"/>
  <c r="J15" i="30" s="1"/>
  <c r="H14" i="29" s="1"/>
  <c r="E29" i="3"/>
  <c r="D5" i="21"/>
  <c r="E22" i="3"/>
  <c r="E9" i="27" s="1"/>
  <c r="D22" i="3"/>
  <c r="D9" i="27" s="1"/>
  <c r="O20" i="3"/>
  <c r="C44" i="3" s="1"/>
  <c r="C22" i="3"/>
  <c r="E16" i="3"/>
  <c r="E10" i="27" s="1"/>
  <c r="D43" i="3"/>
  <c r="D19" i="21" s="1"/>
  <c r="F18" i="3"/>
  <c r="F22" i="3" s="1"/>
  <c r="F9" i="27" s="1"/>
  <c r="I13" i="2" l="1"/>
  <c r="H17" i="2"/>
  <c r="H16" i="2" s="1"/>
  <c r="F31" i="3"/>
  <c r="E7" i="21"/>
  <c r="E36" i="3"/>
  <c r="D12" i="21"/>
  <c r="F30" i="3"/>
  <c r="E6" i="21"/>
  <c r="F33" i="3"/>
  <c r="E9" i="21"/>
  <c r="F32" i="3"/>
  <c r="E8" i="21"/>
  <c r="E34" i="3"/>
  <c r="D10" i="21"/>
  <c r="F35" i="3"/>
  <c r="E11" i="21"/>
  <c r="D23" i="3"/>
  <c r="F29" i="3"/>
  <c r="E5" i="21"/>
  <c r="D44" i="3"/>
  <c r="C20" i="21"/>
  <c r="C9" i="27"/>
  <c r="C23" i="3"/>
  <c r="E43" i="3"/>
  <c r="E19" i="21" s="1"/>
  <c r="F16" i="3"/>
  <c r="E23" i="3"/>
  <c r="G18" i="3"/>
  <c r="G22" i="3" s="1"/>
  <c r="G9" i="27" l="1"/>
  <c r="J13" i="2"/>
  <c r="I17" i="2"/>
  <c r="I16" i="2" s="1"/>
  <c r="G33" i="3"/>
  <c r="G9" i="21" s="1"/>
  <c r="F9" i="21"/>
  <c r="G31" i="3"/>
  <c r="G7" i="21" s="1"/>
  <c r="F7" i="21"/>
  <c r="G32" i="3"/>
  <c r="G8" i="21" s="1"/>
  <c r="F8" i="21"/>
  <c r="G30" i="3"/>
  <c r="G6" i="21" s="1"/>
  <c r="F6" i="21"/>
  <c r="F36" i="3"/>
  <c r="E12" i="21"/>
  <c r="F34" i="3"/>
  <c r="E10" i="21"/>
  <c r="G35" i="3"/>
  <c r="G11" i="21" s="1"/>
  <c r="F11" i="21"/>
  <c r="G29" i="3"/>
  <c r="G5" i="21" s="1"/>
  <c r="F5" i="21"/>
  <c r="F23" i="3"/>
  <c r="F10" i="27"/>
  <c r="E44" i="3"/>
  <c r="D20" i="21"/>
  <c r="F43" i="3"/>
  <c r="F19" i="21" s="1"/>
  <c r="G16" i="3"/>
  <c r="G23" i="3" s="1"/>
  <c r="H18" i="3"/>
  <c r="H22" i="3" s="1"/>
  <c r="H9" i="27" s="1"/>
  <c r="K13" i="2" l="1"/>
  <c r="J17" i="2"/>
  <c r="J16" i="2" s="1"/>
  <c r="G36" i="3"/>
  <c r="G12" i="21" s="1"/>
  <c r="F12" i="21"/>
  <c r="G34" i="3"/>
  <c r="G10" i="21" s="1"/>
  <c r="F10" i="21"/>
  <c r="G10" i="27"/>
  <c r="F44" i="3"/>
  <c r="E20" i="21"/>
  <c r="G43" i="3"/>
  <c r="G19" i="21" s="1"/>
  <c r="H16" i="3"/>
  <c r="I18" i="3"/>
  <c r="I22" i="3" s="1"/>
  <c r="I9" i="27" s="1"/>
  <c r="L13" i="2" l="1"/>
  <c r="K17" i="2"/>
  <c r="K16" i="2" s="1"/>
  <c r="H23" i="3"/>
  <c r="H10" i="27"/>
  <c r="G44" i="3"/>
  <c r="G20" i="21" s="1"/>
  <c r="F20" i="21"/>
  <c r="I16" i="3"/>
  <c r="J18" i="3"/>
  <c r="J22" i="3" s="1"/>
  <c r="J9" i="27" s="1"/>
  <c r="M13" i="2" l="1"/>
  <c r="L17" i="2"/>
  <c r="L16" i="2" s="1"/>
  <c r="I23" i="3"/>
  <c r="I10" i="27"/>
  <c r="J16" i="3"/>
  <c r="K18" i="3"/>
  <c r="K22" i="3" s="1"/>
  <c r="K9" i="27" s="1"/>
  <c r="N13" i="2" l="1"/>
  <c r="N17" i="2" s="1"/>
  <c r="N16" i="2" s="1"/>
  <c r="M17" i="2"/>
  <c r="M16" i="2" s="1"/>
  <c r="J23" i="3"/>
  <c r="J10" i="27"/>
  <c r="K16" i="3"/>
  <c r="L18" i="3"/>
  <c r="L22" i="3" s="1"/>
  <c r="L9" i="27" s="1"/>
  <c r="K23" i="3" l="1"/>
  <c r="K10" i="27"/>
  <c r="L16" i="3"/>
  <c r="N18" i="3"/>
  <c r="O17" i="2"/>
  <c r="O16" i="2" s="1"/>
  <c r="M18" i="3"/>
  <c r="M22" i="3" s="1"/>
  <c r="M9" i="27" s="1"/>
  <c r="L23" i="3" l="1"/>
  <c r="L10" i="27"/>
  <c r="N22" i="3"/>
  <c r="O18" i="3"/>
  <c r="C41" i="3" s="1"/>
  <c r="M16" i="3"/>
  <c r="M23" i="3" l="1"/>
  <c r="M10" i="27"/>
  <c r="D41" i="3"/>
  <c r="C17" i="21"/>
  <c r="C46" i="3"/>
  <c r="N9" i="27"/>
  <c r="O22" i="3"/>
  <c r="N16" i="3"/>
  <c r="N10" i="27" s="1"/>
  <c r="O6" i="3"/>
  <c r="C28" i="3" s="1"/>
  <c r="C4" i="21" s="1"/>
  <c r="D17" i="21" l="1"/>
  <c r="E41" i="3"/>
  <c r="D46" i="3"/>
  <c r="N23" i="3"/>
  <c r="O23" i="3" s="1"/>
  <c r="O16" i="3"/>
  <c r="D28" i="3"/>
  <c r="D4" i="21" s="1"/>
  <c r="C38" i="3"/>
  <c r="C48" i="3" s="1"/>
  <c r="E17" i="21" l="1"/>
  <c r="F41" i="3"/>
  <c r="E46" i="3"/>
  <c r="E28" i="3"/>
  <c r="E4" i="21" s="1"/>
  <c r="D38" i="3"/>
  <c r="D48" i="3" s="1"/>
  <c r="F17" i="21" l="1"/>
  <c r="G41" i="3"/>
  <c r="F46" i="3"/>
  <c r="F28" i="3"/>
  <c r="F4" i="21" s="1"/>
  <c r="E38" i="3"/>
  <c r="E48" i="3" s="1"/>
  <c r="G17" i="21" l="1"/>
  <c r="G46" i="3"/>
  <c r="F38" i="3"/>
  <c r="F48" i="3" s="1"/>
  <c r="G28" i="3"/>
  <c r="G38" i="3" l="1"/>
  <c r="G48" i="3" s="1"/>
  <c r="G4" i="21"/>
  <c r="F5" i="17" l="1"/>
  <c r="G5" i="17" s="1"/>
  <c r="B27" i="4"/>
  <c r="H14" i="17" l="1"/>
  <c r="F17" i="17" l="1"/>
  <c r="F18" i="17" l="1"/>
  <c r="F9" i="29" s="1"/>
  <c r="H17" i="17"/>
  <c r="H18" i="17" s="1"/>
  <c r="F14" i="17"/>
  <c r="E9" i="29" s="1"/>
  <c r="G14" i="17" l="1"/>
  <c r="G18" i="17"/>
  <c r="C27" i="4" l="1"/>
  <c r="D27" i="4" l="1"/>
  <c r="H31" i="4" l="1"/>
  <c r="K31" i="4"/>
  <c r="L31" i="4"/>
  <c r="E31" i="4"/>
  <c r="J31" i="4"/>
  <c r="F31" i="4"/>
  <c r="I31" i="4"/>
  <c r="N31" i="4"/>
  <c r="D31" i="4"/>
  <c r="M31" i="4"/>
  <c r="C31" i="4"/>
  <c r="O17" i="4" l="1"/>
  <c r="P17" i="4" s="1"/>
  <c r="Q17" i="4" s="1"/>
  <c r="R17" i="4" s="1"/>
  <c r="S17" i="4" s="1"/>
  <c r="O27" i="4"/>
  <c r="G23" i="17"/>
  <c r="G25" i="17" s="1"/>
  <c r="G31" i="4" l="1"/>
  <c r="O31" i="4" l="1"/>
  <c r="C7" i="4" s="1"/>
  <c r="D7" i="4" l="1"/>
  <c r="C11" i="4"/>
  <c r="C7" i="28" l="1"/>
  <c r="C10" i="29" s="1"/>
  <c r="D21" i="29" s="1"/>
  <c r="G21" i="29" s="1"/>
  <c r="D7" i="27"/>
  <c r="C5" i="23"/>
  <c r="E7" i="4"/>
  <c r="D11" i="4"/>
  <c r="D7" i="28" s="1"/>
  <c r="C11" i="29" s="1"/>
  <c r="E7" i="27" l="1"/>
  <c r="F7" i="27" s="1"/>
  <c r="G7" i="27" s="1"/>
  <c r="H7" i="27" s="1"/>
  <c r="I7" i="27" s="1"/>
  <c r="J7" i="27" s="1"/>
  <c r="K7" i="27" s="1"/>
  <c r="L7" i="27" s="1"/>
  <c r="M7" i="27" s="1"/>
  <c r="N7" i="27" s="1"/>
  <c r="D22" i="29"/>
  <c r="G22" i="29" s="1"/>
  <c r="F7" i="4"/>
  <c r="E11" i="4"/>
  <c r="E7" i="28" s="1"/>
  <c r="C12" i="29" s="1"/>
  <c r="D5" i="23"/>
  <c r="O7" i="27" l="1"/>
  <c r="D23" i="29"/>
  <c r="G23" i="29" s="1"/>
  <c r="E5" i="23"/>
  <c r="G7" i="4"/>
  <c r="G11" i="4" s="1"/>
  <c r="G7" i="28" s="1"/>
  <c r="C14" i="29" s="1"/>
  <c r="F11" i="4"/>
  <c r="F7" i="28" s="1"/>
  <c r="C13" i="29" s="1"/>
  <c r="D24" i="29" l="1"/>
  <c r="G24" i="29" s="1"/>
  <c r="D25" i="29"/>
  <c r="G25" i="29" s="1"/>
  <c r="G5" i="23"/>
  <c r="F5" i="23"/>
  <c r="C14" i="21"/>
  <c r="O10" i="27"/>
  <c r="C6" i="23" l="1"/>
  <c r="C12" i="28"/>
  <c r="G26" i="29"/>
  <c r="D26" i="29"/>
  <c r="D14" i="21"/>
  <c r="D26" i="21" l="1"/>
  <c r="D6" i="23" s="1"/>
  <c r="D12" i="28"/>
  <c r="E14" i="21"/>
  <c r="D12" i="27"/>
  <c r="D15" i="27" s="1"/>
  <c r="E12" i="27"/>
  <c r="E15" i="27" s="1"/>
  <c r="L12" i="27"/>
  <c r="L15" i="27" s="1"/>
  <c r="F12" i="27"/>
  <c r="F15" i="27" s="1"/>
  <c r="E26" i="21" l="1"/>
  <c r="E6" i="23" s="1"/>
  <c r="E12" i="28"/>
  <c r="F14" i="21"/>
  <c r="G12" i="27"/>
  <c r="G15" i="27" s="1"/>
  <c r="M12" i="27"/>
  <c r="M15" i="27" s="1"/>
  <c r="F26" i="21" l="1"/>
  <c r="F6" i="23" s="1"/>
  <c r="F12" i="28"/>
  <c r="G14" i="21"/>
  <c r="C12" i="27"/>
  <c r="N12" i="27"/>
  <c r="N15" i="27" s="1"/>
  <c r="G26" i="21" l="1"/>
  <c r="G6" i="23" s="1"/>
  <c r="G12" i="28"/>
  <c r="C15" i="27"/>
  <c r="C16" i="27" s="1"/>
  <c r="E21" i="17" s="1"/>
  <c r="I12" i="27"/>
  <c r="I15" i="27" s="1"/>
  <c r="D16" i="27" l="1"/>
  <c r="E16" i="27" s="1"/>
  <c r="H12" i="27"/>
  <c r="J12" i="27"/>
  <c r="J15" i="27" s="1"/>
  <c r="F16" i="27" l="1"/>
  <c r="G16" i="27" s="1"/>
  <c r="F21" i="17"/>
  <c r="H15" i="27"/>
  <c r="H16" i="27" l="1"/>
  <c r="I16" i="27" s="1"/>
  <c r="J16" i="27" s="1"/>
  <c r="F23" i="17"/>
  <c r="G9" i="29" s="1"/>
  <c r="C20" i="29" s="1"/>
  <c r="H21" i="17"/>
  <c r="H23" i="17" s="1"/>
  <c r="H25" i="17" s="1"/>
  <c r="C23" i="21"/>
  <c r="J9" i="29" l="1"/>
  <c r="C7" i="23"/>
  <c r="C8" i="23" s="1"/>
  <c r="C8" i="28"/>
  <c r="F25" i="17"/>
  <c r="D23" i="21"/>
  <c r="K12" i="27"/>
  <c r="O9" i="27"/>
  <c r="C28" i="21" l="1"/>
  <c r="F20" i="29"/>
  <c r="C10" i="28"/>
  <c r="C15" i="28" s="1"/>
  <c r="C21" i="28" s="1"/>
  <c r="C26" i="28" s="1"/>
  <c r="D27" i="21"/>
  <c r="D7" i="23" s="1"/>
  <c r="D9" i="23" s="1"/>
  <c r="D10" i="23" s="1"/>
  <c r="D8" i="28"/>
  <c r="C9" i="23"/>
  <c r="C10" i="23" s="1"/>
  <c r="E23" i="21"/>
  <c r="K15" i="27"/>
  <c r="K16" i="27" s="1"/>
  <c r="L16" i="27" s="1"/>
  <c r="M16" i="27" s="1"/>
  <c r="N16" i="27" s="1"/>
  <c r="O12" i="27"/>
  <c r="O15" i="27" s="1"/>
  <c r="H20" i="29" l="1"/>
  <c r="C5" i="26" s="1"/>
  <c r="C6" i="26" s="1"/>
  <c r="D8" i="23"/>
  <c r="D10" i="28"/>
  <c r="D15" i="28" s="1"/>
  <c r="D21" i="28" s="1"/>
  <c r="D28" i="21"/>
  <c r="E27" i="21"/>
  <c r="E7" i="23" s="1"/>
  <c r="E8" i="23" s="1"/>
  <c r="E8" i="28"/>
  <c r="F23" i="21"/>
  <c r="F27" i="21" l="1"/>
  <c r="F7" i="23" s="1"/>
  <c r="F9" i="23" s="1"/>
  <c r="F10" i="23" s="1"/>
  <c r="F8" i="28"/>
  <c r="E9" i="23"/>
  <c r="E10" i="23" s="1"/>
  <c r="E10" i="28"/>
  <c r="E15" i="28" s="1"/>
  <c r="E21" i="28" s="1"/>
  <c r="C29" i="28"/>
  <c r="D10" i="29" s="1"/>
  <c r="E28" i="21"/>
  <c r="G23" i="21"/>
  <c r="F28" i="21" l="1"/>
  <c r="D29" i="28"/>
  <c r="D11" i="29" s="1"/>
  <c r="C22" i="29" s="1"/>
  <c r="F22" i="29" s="1"/>
  <c r="H22" i="29" s="1"/>
  <c r="E5" i="26" s="1"/>
  <c r="C21" i="29"/>
  <c r="J10" i="29"/>
  <c r="G27" i="21"/>
  <c r="G28" i="21" s="1"/>
  <c r="G8" i="28"/>
  <c r="D26" i="28"/>
  <c r="F10" i="28"/>
  <c r="F15" i="28" s="1"/>
  <c r="F21" i="28" s="1"/>
  <c r="F8" i="23"/>
  <c r="G7" i="23" l="1"/>
  <c r="G8" i="23" s="1"/>
  <c r="J11" i="29"/>
  <c r="E26" i="28"/>
  <c r="F21" i="29"/>
  <c r="E29" i="28"/>
  <c r="D12" i="29" s="1"/>
  <c r="G10" i="28"/>
  <c r="G15" i="28" s="1"/>
  <c r="G21" i="28" s="1"/>
  <c r="G9" i="23" l="1"/>
  <c r="G10" i="23" s="1"/>
  <c r="H21" i="29"/>
  <c r="D5" i="26" s="1"/>
  <c r="D6" i="26" s="1"/>
  <c r="E6" i="26" s="1"/>
  <c r="C23" i="29"/>
  <c r="J12" i="29"/>
  <c r="F29" i="28"/>
  <c r="D13" i="29" s="1"/>
  <c r="F26" i="28"/>
  <c r="F23" i="29" l="1"/>
  <c r="C24" i="29"/>
  <c r="F24" i="29" s="1"/>
  <c r="H24" i="29" s="1"/>
  <c r="G5" i="26" s="1"/>
  <c r="J13" i="29"/>
  <c r="G26" i="28"/>
  <c r="G29" i="28"/>
  <c r="D14" i="29" s="1"/>
  <c r="C26" i="29" l="1"/>
  <c r="C25" i="29"/>
  <c r="J14" i="29"/>
  <c r="H23" i="29"/>
  <c r="F5" i="26" s="1"/>
  <c r="F6" i="26" s="1"/>
  <c r="G6" i="26" s="1"/>
  <c r="F25" i="29" l="1"/>
  <c r="H25" i="29" s="1"/>
  <c r="H5" i="26" s="1"/>
  <c r="H6" i="26" s="1"/>
  <c r="E30" i="29" a="1"/>
  <c r="E30" i="29" s="1"/>
  <c r="F30" i="29" s="1"/>
  <c r="F26" i="29" l="1"/>
  <c r="E31" i="29" s="1"/>
  <c r="F31" i="29" s="1"/>
  <c r="H26" i="29"/>
  <c r="E29" i="29" s="1"/>
  <c r="F29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SAUL BAUTISTA</author>
  </authors>
  <commentList>
    <comment ref="B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ENLISTARAN TODOS LOS ARTICULOS A ADQUIRIR CON EL RECURSO DEL PROGRAMA.</t>
        </r>
      </text>
    </comment>
    <comment ref="C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MEDIDA DE COMPRA DE LOS ARTICULOS</t>
        </r>
      </text>
    </comment>
    <comment ref="E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COSTO DE COMPRA DE LOS ARTICULOS A ADQUIRIR</t>
        </r>
      </text>
    </comment>
    <comment ref="B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BIENES DURADEROS PARA EL FUNCIONAMIENTO DEL PROYECTO</t>
        </r>
      </text>
    </comment>
    <comment ref="B1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SON GASTOS PAGADOS POR ANTICIPADO PERO NECESARIOS PARA LA APERTURA DEL PROYECTO</t>
        </r>
      </text>
    </comment>
    <comment ref="B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INSUMOS DE PRONTA UTILIZACION INDISPENSABLES PARA LA OPERACIÓN DEL PROYECTO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usuario01</author>
  </authors>
  <commentList>
    <comment ref="B2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CALCULAR EL PUNTO DE EQUILIBRIO EN PORCENTAJE DE VENTAS CON LA FORMULA ESTUDIADA.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<sst xmlns="http://schemas.openxmlformats.org/spreadsheetml/2006/main" count="338" uniqueCount="234">
  <si>
    <t>Mes 1</t>
  </si>
  <si>
    <t>Mes 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</si>
  <si>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</si>
  <si>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</si>
  <si>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</si>
  <si>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</si>
  <si>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</si>
  <si>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</si>
  <si>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</si>
  <si>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</si>
  <si>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</si>
  <si>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</si>
  <si>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</si>
  <si>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</si>
  <si>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</si>
  <si>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Concepto/Mes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</si>
  <si>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</si>
  <si>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</si>
  <si>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</si>
  <si>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</si>
  <si>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</si>
  <si>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</si>
  <si>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</si>
  <si>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</si>
  <si>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</si>
  <si>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</si>
  <si>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Costos Fijos</t>
  </si>
  <si>
    <t>Subtotal</t>
  </si>
  <si>
    <t>Costos Totales</t>
  </si>
  <si>
    <t>Costos Variables</t>
  </si>
  <si>
    <t>P r o y e c c i o n   M e n s u a l   d e   C o s t o s</t>
  </si>
  <si>
    <t>P r o y e c c i o n   A n u a l   d e   C o s t o s</t>
  </si>
  <si>
    <t>Año 1</t>
  </si>
  <si>
    <t>Año 2</t>
  </si>
  <si>
    <t>Año 3</t>
  </si>
  <si>
    <t>Año 4</t>
  </si>
  <si>
    <t>Año 5</t>
  </si>
  <si>
    <t>Conceptos/Año</t>
  </si>
  <si>
    <t>Presentacion/Año</t>
  </si>
  <si>
    <t>P r o y e c c i o n   A n u a l   d e   I n g r e s o s</t>
  </si>
  <si>
    <t>Ingresos Totales</t>
  </si>
  <si>
    <t>EGRESOS</t>
  </si>
  <si>
    <t>Cantidad</t>
  </si>
  <si>
    <t>UNIDAD</t>
  </si>
  <si>
    <t>CANTIDAD</t>
  </si>
  <si>
    <t>Jornal</t>
  </si>
  <si>
    <t xml:space="preserve">      PUNTO DE EQUILIBRIO</t>
  </si>
  <si>
    <t>PRESUPUESTO DE INVERSION</t>
  </si>
  <si>
    <t>CONCEPTOS</t>
  </si>
  <si>
    <t>COSTO UNITARIO</t>
  </si>
  <si>
    <t>SOCIOS</t>
  </si>
  <si>
    <t>TOTAL</t>
  </si>
  <si>
    <t>ACTIVO FIJO</t>
  </si>
  <si>
    <t>ACTIVO DIFERIDO</t>
  </si>
  <si>
    <t>CAPITAL DE TRABAJO</t>
  </si>
  <si>
    <t>AÑO 1</t>
  </si>
  <si>
    <t>AÑO 2</t>
  </si>
  <si>
    <t>AÑO 3</t>
  </si>
  <si>
    <t>AÑO 4</t>
  </si>
  <si>
    <t>AÑO 5</t>
  </si>
  <si>
    <t>COSTOS FIJOS</t>
  </si>
  <si>
    <t>COSTOS VARIABLES</t>
  </si>
  <si>
    <t>COSTOS TOTALES</t>
  </si>
  <si>
    <t xml:space="preserve">COSTOS FIJOS </t>
  </si>
  <si>
    <t>CONCEPTOS / AÑO</t>
  </si>
  <si>
    <t>VENTAS</t>
  </si>
  <si>
    <t xml:space="preserve">PUNTO DE EQUILIBRIO $ </t>
  </si>
  <si>
    <t>PUNTO DE EQUILIBRIO %</t>
  </si>
  <si>
    <t>PERÍODO DE RECUPERACIÓN DE LA INVERSION</t>
  </si>
  <si>
    <t>FLUJO ACT.</t>
  </si>
  <si>
    <t>SALDO</t>
  </si>
  <si>
    <t xml:space="preserve">El ultimo saldo negativo corresponde  </t>
  </si>
  <si>
    <t>al numero de años de recuperacion</t>
  </si>
  <si>
    <t>Periodo de recuperacion</t>
  </si>
  <si>
    <t>años</t>
  </si>
  <si>
    <t xml:space="preserve">CALCULO DE CAPITAL DE TRABAJO </t>
  </si>
  <si>
    <t>CONCEPTO</t>
  </si>
  <si>
    <t xml:space="preserve">MESES PRIMER AÑO </t>
  </si>
  <si>
    <t xml:space="preserve">Ene </t>
  </si>
  <si>
    <t xml:space="preserve">TOTAL </t>
  </si>
  <si>
    <t xml:space="preserve">INGRESOS </t>
  </si>
  <si>
    <t>Por Ventas</t>
  </si>
  <si>
    <t>Total Egresos</t>
  </si>
  <si>
    <t xml:space="preserve">Flujo de </t>
  </si>
  <si>
    <t>Efectivo</t>
  </si>
  <si>
    <t>Efectivo Acumulado</t>
  </si>
  <si>
    <t>Capital de trabajo mensual</t>
  </si>
  <si>
    <t>Presupuesto</t>
  </si>
  <si>
    <t>Ingresos</t>
  </si>
  <si>
    <t>Presentaciones</t>
  </si>
  <si>
    <t>Total Año 1</t>
  </si>
  <si>
    <t>Compra (Ton):</t>
  </si>
  <si>
    <t>Precio de compra: ($/ton)</t>
  </si>
  <si>
    <t>Volumen Neta para venta (ton)</t>
  </si>
  <si>
    <t>Volmente Neto para Venta (Kg)</t>
  </si>
  <si>
    <t>Fletes</t>
  </si>
  <si>
    <t>Calculo de costos de mano de obra, servicios, y otros</t>
  </si>
  <si>
    <t>Concepto</t>
  </si>
  <si>
    <t>U. de Medida</t>
  </si>
  <si>
    <t>P. Unitario</t>
  </si>
  <si>
    <t>Frecuencia</t>
  </si>
  <si>
    <t>Costo total Mensual</t>
  </si>
  <si>
    <t>Mano de obra para acopio</t>
  </si>
  <si>
    <t>Administrador general</t>
  </si>
  <si>
    <t>Salario</t>
  </si>
  <si>
    <t>Contabilidad</t>
  </si>
  <si>
    <t>Servicio</t>
  </si>
  <si>
    <t>Pago de luz</t>
  </si>
  <si>
    <t>Recibo</t>
  </si>
  <si>
    <t>Pago de agua</t>
  </si>
  <si>
    <t>Mantenimiento de equipo</t>
  </si>
  <si>
    <t>Telefono</t>
  </si>
  <si>
    <t xml:space="preserve">Ventas </t>
  </si>
  <si>
    <t>ESTADO DE RESULTADOS CONSOLIDADO PROYECTADO</t>
  </si>
  <si>
    <t>( PESOS )</t>
  </si>
  <si>
    <t>CONCEPTO/PERIODO</t>
  </si>
  <si>
    <t xml:space="preserve">P r o y e c t a d o s </t>
  </si>
  <si>
    <t>INGRESOS POR VENTAS</t>
  </si>
  <si>
    <t>COSTOS DE PRODUCCION</t>
  </si>
  <si>
    <t>UTILIDAD  BRUTA</t>
  </si>
  <si>
    <t>GASTOS DE ADMINISTRACION Y VENTAS</t>
  </si>
  <si>
    <t>UTILIDAD DE OPERACIÓN</t>
  </si>
  <si>
    <t>Reintegros</t>
  </si>
  <si>
    <t>Intereses</t>
  </si>
  <si>
    <t xml:space="preserve">UTILIDADES ANTES DE IMPUESTOS </t>
  </si>
  <si>
    <t xml:space="preserve">UTILIDAD NETA </t>
  </si>
  <si>
    <t>Egresos Totales</t>
  </si>
  <si>
    <t>incluyendo impuestos, reintegros, pago de intereses</t>
  </si>
  <si>
    <t>EVALUACION FINANCIERA</t>
  </si>
  <si>
    <t>INDICADORES FINANCIEROS</t>
  </si>
  <si>
    <t>FLUJO NETO DE EFECTIVO</t>
  </si>
  <si>
    <t>Inversiones para el proyecto</t>
  </si>
  <si>
    <t>Valor de Rescate</t>
  </si>
  <si>
    <t>Flujo Neto de Efectivo</t>
  </si>
  <si>
    <t>Año de</t>
  </si>
  <si>
    <t>Egresos</t>
  </si>
  <si>
    <t>Fija</t>
  </si>
  <si>
    <t>Diferida</t>
  </si>
  <si>
    <t>Cap de trab.</t>
  </si>
  <si>
    <t xml:space="preserve">Valor </t>
  </si>
  <si>
    <t>Recup. De</t>
  </si>
  <si>
    <t>operación</t>
  </si>
  <si>
    <t>totales*</t>
  </si>
  <si>
    <t>totales</t>
  </si>
  <si>
    <t>Residual</t>
  </si>
  <si>
    <t>cap. De Trab.</t>
  </si>
  <si>
    <t>CALCULO DEL VAN,  R B/C Y TIR CON UNA TASA DE DESCUENTO DEL 10%</t>
  </si>
  <si>
    <t>Año</t>
  </si>
  <si>
    <t>Costos</t>
  </si>
  <si>
    <t>Beneficios</t>
  </si>
  <si>
    <t>Factor de</t>
  </si>
  <si>
    <t>Flujo neto de</t>
  </si>
  <si>
    <t>de</t>
  </si>
  <si>
    <t>actualización</t>
  </si>
  <si>
    <t>actualizados</t>
  </si>
  <si>
    <t>efectivo act.</t>
  </si>
  <si>
    <t>($)</t>
  </si>
  <si>
    <t>Los indicadores financieros que arroja el proyecto son:</t>
  </si>
  <si>
    <t>VAN=</t>
  </si>
  <si>
    <t>TIR =</t>
  </si>
  <si>
    <t>B/C =</t>
  </si>
  <si>
    <t xml:space="preserve"> </t>
  </si>
  <si>
    <t xml:space="preserve">CALCULO DE DEPRECIACIONES Y AMORTIZACIONES </t>
  </si>
  <si>
    <t>COSTO          UNITARIO</t>
  </si>
  <si>
    <t>COSTO   TOTAL</t>
  </si>
  <si>
    <t>Años de Vida Util</t>
  </si>
  <si>
    <t xml:space="preserve"> Depreciacion Anual</t>
  </si>
  <si>
    <t>Drepreciacion en el periodo (5 Años)</t>
  </si>
  <si>
    <t>Valor  Residual</t>
  </si>
  <si>
    <t>Programa</t>
  </si>
  <si>
    <t>Mermas (5%) (ton)</t>
  </si>
  <si>
    <t>Bolsas de 50 kg</t>
  </si>
  <si>
    <t>Mano de obra para carga y descarga</t>
  </si>
  <si>
    <t xml:space="preserve">Unidades de venta por presentacion </t>
  </si>
  <si>
    <t>Precio ($/costal)</t>
  </si>
  <si>
    <t>equipo</t>
  </si>
  <si>
    <t>Costo de acopiado</t>
  </si>
  <si>
    <t>Programa de Ventas Mensuales de Ajonjoli</t>
  </si>
  <si>
    <t>COSTO/UN</t>
  </si>
  <si>
    <t>UNID</t>
  </si>
  <si>
    <t>SUMA</t>
  </si>
  <si>
    <t>Costo de Produccion para 20 hectareas</t>
  </si>
  <si>
    <t>PREPARACIÓN DE SUELOS</t>
  </si>
  <si>
    <t>SIEMBRA</t>
  </si>
  <si>
    <t>FERTILIZACIÓN</t>
  </si>
  <si>
    <t>Aplicación</t>
  </si>
  <si>
    <t>CONTROL DE PLAGAS Y ENFERMEDADES</t>
  </si>
  <si>
    <t>Coloso</t>
  </si>
  <si>
    <t>Cruiser TS (trat semilla)</t>
  </si>
  <si>
    <t>Finale</t>
  </si>
  <si>
    <t>Tordon</t>
  </si>
  <si>
    <t>RIEGO</t>
  </si>
  <si>
    <t>COSECHA</t>
  </si>
  <si>
    <t>SUMA   $</t>
  </si>
  <si>
    <t>CULTIVO:</t>
  </si>
  <si>
    <t>SUPERFICIE (HA)</t>
  </si>
  <si>
    <t>IMPORTE TOTAL ($):</t>
  </si>
  <si>
    <t>PRODUCCION TOTAL (kg)</t>
  </si>
  <si>
    <t>PRODUCCION TOTAL BULTOS DE 50 KG</t>
  </si>
  <si>
    <t>Corte</t>
  </si>
  <si>
    <t>Costo de produccion en campo</t>
  </si>
  <si>
    <t>COSTO DE PRODUCCIÓN DEL CULTIVO</t>
  </si>
  <si>
    <t>Costo de Produccion para 1 hectarea de cultivo de yuca y frijol caupí</t>
  </si>
  <si>
    <t>Capacidad de Acopio de la yuca y frijol</t>
  </si>
  <si>
    <t>Mecanización (Arado y rastrillado)</t>
  </si>
  <si>
    <t>Cerramiento (Postes, alambre..)</t>
  </si>
  <si>
    <t xml:space="preserve">Semilla de yuca </t>
  </si>
  <si>
    <t>Siembra de frijol Caupí</t>
  </si>
  <si>
    <t>Yuca + Frijol Caupí</t>
  </si>
  <si>
    <t>Guadaña75</t>
  </si>
  <si>
    <t>miterra (insecticida)</t>
  </si>
  <si>
    <t>Yuca</t>
  </si>
  <si>
    <t>Frijol Caupí</t>
  </si>
  <si>
    <t>Compra de yuca</t>
  </si>
  <si>
    <t>Venta de Yuca</t>
  </si>
  <si>
    <t>Venta de Frijol Caupí</t>
  </si>
  <si>
    <t>Yuca 50 kg</t>
  </si>
  <si>
    <t>Frijol Caupí 50 kg</t>
  </si>
  <si>
    <t>Produccion de yuca y Frijol Caupí</t>
  </si>
  <si>
    <t>RENDIMIENTO YUCA (TON/HA):</t>
  </si>
  <si>
    <t>RENDIMIENTO FRIJOL (TON/HA):</t>
  </si>
  <si>
    <t>PRODUCCION DE YUCA BULTOS DE 50 KG</t>
  </si>
  <si>
    <t>PRODUCCION DE FRIJOL BULTOS DE 50 KG</t>
  </si>
  <si>
    <t xml:space="preserve">Ingresos por venta de Yuca + Frijol Caupí </t>
  </si>
  <si>
    <t>Limpieza del terreno y adecuación de linderos</t>
  </si>
  <si>
    <t>Obra</t>
  </si>
  <si>
    <t>Electrobomba/motobomba electrica, Potencia: 3 Hp, Voltaje: 110 V</t>
  </si>
  <si>
    <t>Sensor</t>
  </si>
  <si>
    <t>Fertilizante 17-6-18-2 (Producción), Bulto por 50 Kg.</t>
  </si>
  <si>
    <t>Cal liquida (2 litros).</t>
  </si>
  <si>
    <t>Agrimin, Fertilizante 8-5-0-6, Bulto por  46 Kg</t>
  </si>
  <si>
    <t>Abono orgánico compost,  bulto de 40 Kg.</t>
  </si>
  <si>
    <t>Sistema de riego por goteo fotovoltaico</t>
  </si>
  <si>
    <r>
      <rPr>
        <i/>
        <sz val="16"/>
        <color rgb="FF000000"/>
        <rFont val="Calibri"/>
        <family val="2"/>
      </rPr>
      <t xml:space="preserve">Modelo agrosostenible para la producción agrícola con el fin de promover la adaptación ante el cambio climático en el departamento de Bolívar. </t>
    </r>
    <r>
      <rPr>
        <b/>
        <i/>
        <sz val="20"/>
        <color indexed="8"/>
        <rFont val="Calibri"/>
        <family val="2"/>
      </rPr>
      <t xml:space="preserve">
Cultivo de Yuca y Frijol Caupí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</si>
</sst>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.00\ _€_-;\-* #,##0.00\ _€_-;_-* &quot;-&quot;??\ _€_-;_-@_-"/>
    <numFmt numFmtId="166" formatCode="#,##0.00_ ;\-#,##0.00\ "/>
    <numFmt numFmtId="167" formatCode="#,##0.000"/>
    <numFmt numFmtId="168" formatCode="_-[$$-80A]* #,##0.00_-;\-[$$-80A]* #,##0.00_-;_-[$$-80A]* &quot;-&quot;??_-;_-@_-"/>
    <numFmt numFmtId="169" formatCode="_-* #,##0.00\ _p_t_a_-;\-* #,##0.00\ _p_t_a_-;_-* &quot;-&quot;\ _p_t_a_-;_-@_-"/>
    <numFmt numFmtId="170" formatCode="#,##0.0_);\(#,##0.0\)"/>
    <numFmt numFmtId="171" formatCode="#,##0.0"/>
    <numFmt numFmtId="172" formatCode="#,##0.0_ ;\-#,##0.0\ "/>
    <numFmt numFmtId="173" formatCode="_-* #,##0.0_-;\-* #,##0.0_-;_-* &quot;-&quot;??_-;_-@_-"/>
    <numFmt numFmtId="174" formatCode="_-* #,##0_-;\-* #,##0_-;_-* &quot;-&quot;??_-;_-@_-"/>
    <numFmt numFmtId="175" formatCode="_(* #,##0.00_);_(* \(#,##0.00\);_(* &quot;-&quot;??_);_(@_)"/>
    <numFmt numFmtId="176" formatCode="General_)"/>
    <numFmt numFmtId="177" formatCode="_-* #,##0.00\ _P_t_s_-;\-* #,##0.00\ _P_t_s_-;_-* &quot;-&quot;??\ _P_t_s_-;_-@_-"/>
    <numFmt numFmtId="178" formatCode="0.0%"/>
    <numFmt numFmtId="179" formatCode="#,##0.00\ _€"/>
    <numFmt numFmtId="180" formatCode="#,##0\ _€"/>
    <numFmt numFmtId="181" formatCode="_ * #,##0.00_ ;_ * \-#,##0.00_ ;_ * &quot;-&quot;??_ ;_ @_ "/>
    <numFmt numFmtId="182" formatCode="_-* #,##0.000_-;\-* #,##0.000_-;_-* &quot;-&quot;??_-;_-@_-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Tahoma"/>
      <family val="2"/>
    </font>
    <font>
      <b/>
      <sz val="10"/>
      <name val="Tahoma"/>
      <family val="2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b/>
      <i/>
      <sz val="20"/>
      <color indexed="8"/>
      <name val="Calibri"/>
      <family val="2"/>
    </font>
    <font>
      <b/>
      <sz val="16"/>
      <color indexed="8"/>
      <name val="Calibri"/>
      <family val="2"/>
    </font>
    <font>
      <b/>
      <sz val="8"/>
      <color indexed="81"/>
      <name val="Tahoma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i/>
      <sz val="16"/>
      <color indexed="8"/>
      <name val="Calibri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  <scheme val="minor"/>
    </font>
    <font>
      <b/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ahoma"/>
      <family val="2"/>
    </font>
    <font>
      <b/>
      <sz val="11"/>
      <name val="Tahoma"/>
      <family val="2"/>
    </font>
    <font>
      <b/>
      <i/>
      <sz val="11"/>
      <name val="Tahoma"/>
      <family val="2"/>
    </font>
    <font>
      <i/>
      <sz val="11"/>
      <name val="Tahoma"/>
      <family val="2"/>
    </font>
    <font>
      <u/>
      <sz val="11"/>
      <name val="Tahoma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2"/>
      <name val="Arial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Arial"/>
      <family val="2"/>
    </font>
    <font>
      <b/>
      <sz val="12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12"/>
      <name val="Palatino Linotype"/>
      <family val="1"/>
    </font>
    <font>
      <b/>
      <sz val="10"/>
      <color indexed="8"/>
      <name val="Times New Roman"/>
      <family val="1"/>
    </font>
    <font>
      <b/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b/>
      <i/>
      <sz val="10"/>
      <name val="Tahoma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name val="Courier"/>
      <family val="3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b/>
      <sz val="11"/>
      <name val="Verdana Ref"/>
    </font>
    <font>
      <sz val="11"/>
      <name val="Verdana Ref"/>
      <family val="2"/>
    </font>
    <font>
      <b/>
      <sz val="11"/>
      <name val="Verdana Ref"/>
      <family val="2"/>
    </font>
    <font>
      <sz val="10"/>
      <name val="Arial"/>
      <family val="2"/>
    </font>
    <font>
      <sz val="11"/>
      <name val="Verdana Ref"/>
    </font>
    <font>
      <i/>
      <sz val="16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5" fontId="5" fillId="0" borderId="0"/>
    <xf numFmtId="9" fontId="4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65" fillId="0" borderId="0" applyFont="0" applyFill="0" applyBorder="0" applyAlignment="0" applyProtection="0"/>
  </cellStyleXfs>
  <cellXfs count="334">
    <xf numFmtId="0" fontId="0" fillId="0" borderId="0" xfId="0"/>
    <xf numFmtId="43" fontId="0" fillId="0" borderId="0" xfId="1" applyFont="1"/>
    <xf numFmtId="0" fontId="2" fillId="0" borderId="0" xfId="0" applyFont="1"/>
    <xf numFmtId="0" fontId="0" fillId="0" borderId="1" xfId="0" applyBorder="1"/>
    <xf numFmtId="43" fontId="0" fillId="0" borderId="1" xfId="0" applyNumberFormat="1" applyBorder="1"/>
    <xf numFmtId="43" fontId="0" fillId="0" borderId="1" xfId="1" applyFont="1" applyBorder="1"/>
    <xf numFmtId="0" fontId="3" fillId="0" borderId="0" xfId="0" applyFont="1"/>
    <xf numFmtId="167" fontId="6" fillId="0" borderId="1" xfId="2" applyNumberFormat="1" applyFont="1" applyBorder="1" applyAlignment="1">
      <alignment horizontal="center"/>
    </xf>
    <xf numFmtId="4" fontId="0" fillId="0" borderId="1" xfId="0" applyNumberFormat="1" applyBorder="1"/>
    <xf numFmtId="0" fontId="4" fillId="0" borderId="1" xfId="0" applyFont="1" applyBorder="1"/>
    <xf numFmtId="0" fontId="2" fillId="3" borderId="1" xfId="0" applyFont="1" applyFill="1" applyBorder="1"/>
    <xf numFmtId="43" fontId="2" fillId="3" borderId="1" xfId="1" applyFont="1" applyFill="1" applyBorder="1"/>
    <xf numFmtId="166" fontId="0" fillId="0" borderId="1" xfId="1" applyNumberFormat="1" applyFont="1" applyBorder="1"/>
    <xf numFmtId="166" fontId="2" fillId="0" borderId="1" xfId="1" applyNumberFormat="1" applyFont="1" applyBorder="1"/>
    <xf numFmtId="0" fontId="0" fillId="3" borderId="1" xfId="0" applyFill="1" applyBorder="1"/>
    <xf numFmtId="0" fontId="9" fillId="0" borderId="0" xfId="0" applyFont="1"/>
    <xf numFmtId="0" fontId="10" fillId="4" borderId="4" xfId="4" applyFill="1" applyBorder="1" applyAlignment="1" applyProtection="1"/>
    <xf numFmtId="0" fontId="16" fillId="0" borderId="0" xfId="0" applyFont="1"/>
    <xf numFmtId="0" fontId="4" fillId="3" borderId="1" xfId="0" applyFont="1" applyFill="1" applyBorder="1" applyAlignment="1">
      <alignment horizontal="center" vertical="top" wrapText="1"/>
    </xf>
    <xf numFmtId="164" fontId="17" fillId="3" borderId="1" xfId="5" applyFont="1" applyFill="1" applyBorder="1"/>
    <xf numFmtId="0" fontId="0" fillId="3" borderId="1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center" vertical="top" wrapText="1"/>
    </xf>
    <xf numFmtId="164" fontId="17" fillId="3" borderId="1" xfId="5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justify" vertical="top" wrapText="1"/>
    </xf>
    <xf numFmtId="164" fontId="0" fillId="3" borderId="1" xfId="0" applyNumberFormat="1" applyFill="1" applyBorder="1" applyAlignment="1">
      <alignment horizontal="justify" vertical="top" wrapText="1"/>
    </xf>
    <xf numFmtId="9" fontId="17" fillId="3" borderId="1" xfId="3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164" fontId="22" fillId="5" borderId="1" xfId="5" applyFont="1" applyFill="1" applyBorder="1" applyAlignment="1">
      <alignment horizontal="center" wrapText="1"/>
    </xf>
    <xf numFmtId="0" fontId="18" fillId="5" borderId="1" xfId="0" applyFont="1" applyFill="1" applyBorder="1"/>
    <xf numFmtId="164" fontId="18" fillId="5" borderId="1" xfId="5" applyFont="1" applyFill="1" applyBorder="1"/>
    <xf numFmtId="0" fontId="18" fillId="5" borderId="1" xfId="0" applyFont="1" applyFill="1" applyBorder="1" applyAlignment="1">
      <alignment vertical="top" wrapText="1"/>
    </xf>
    <xf numFmtId="164" fontId="18" fillId="5" borderId="1" xfId="0" applyNumberFormat="1" applyFont="1" applyFill="1" applyBorder="1"/>
    <xf numFmtId="0" fontId="21" fillId="6" borderId="1" xfId="0" applyFont="1" applyFill="1" applyBorder="1"/>
    <xf numFmtId="0" fontId="21" fillId="6" borderId="1" xfId="0" applyFont="1" applyFill="1" applyBorder="1" applyAlignment="1">
      <alignment horizontal="center" vertical="top" wrapText="1"/>
    </xf>
    <xf numFmtId="0" fontId="21" fillId="6" borderId="1" xfId="0" applyFont="1" applyFill="1" applyBorder="1" applyAlignment="1">
      <alignment horizontal="center"/>
    </xf>
    <xf numFmtId="43" fontId="21" fillId="6" borderId="1" xfId="1" applyFont="1" applyFill="1" applyBorder="1" applyAlignment="1">
      <alignment horizontal="center"/>
    </xf>
    <xf numFmtId="164" fontId="11" fillId="6" borderId="1" xfId="5" applyFont="1" applyFill="1" applyBorder="1"/>
    <xf numFmtId="164" fontId="18" fillId="6" borderId="1" xfId="5" applyFont="1" applyFill="1" applyBorder="1"/>
    <xf numFmtId="0" fontId="23" fillId="6" borderId="1" xfId="0" applyFont="1" applyFill="1" applyBorder="1"/>
    <xf numFmtId="4" fontId="23" fillId="6" borderId="1" xfId="0" applyNumberFormat="1" applyFont="1" applyFill="1" applyBorder="1"/>
    <xf numFmtId="0" fontId="21" fillId="6" borderId="1" xfId="0" applyFont="1" applyFill="1" applyBorder="1" applyAlignment="1">
      <alignment horizontal="justify" vertical="top" wrapText="1"/>
    </xf>
    <xf numFmtId="0" fontId="23" fillId="6" borderId="1" xfId="0" applyFont="1" applyFill="1" applyBorder="1" applyAlignment="1">
      <alignment horizontal="center" vertical="top" wrapText="1"/>
    </xf>
    <xf numFmtId="164" fontId="18" fillId="6" borderId="1" xfId="5" applyFont="1" applyFill="1" applyBorder="1" applyAlignment="1">
      <alignment horizontal="center" vertical="top" wrapText="1"/>
    </xf>
    <xf numFmtId="0" fontId="23" fillId="5" borderId="1" xfId="0" applyFont="1" applyFill="1" applyBorder="1"/>
    <xf numFmtId="164" fontId="22" fillId="3" borderId="1" xfId="0" applyNumberFormat="1" applyFont="1" applyFill="1" applyBorder="1" applyAlignment="1">
      <alignment horizontal="center"/>
    </xf>
    <xf numFmtId="0" fontId="22" fillId="5" borderId="1" xfId="0" applyFont="1" applyFill="1" applyBorder="1" applyAlignment="1">
      <alignment horizontal="left"/>
    </xf>
    <xf numFmtId="164" fontId="11" fillId="5" borderId="1" xfId="5" applyFont="1" applyFill="1" applyBorder="1"/>
    <xf numFmtId="168" fontId="20" fillId="0" borderId="1" xfId="5" applyNumberFormat="1" applyFont="1" applyFill="1" applyBorder="1"/>
    <xf numFmtId="0" fontId="4" fillId="0" borderId="0" xfId="0" applyFont="1"/>
    <xf numFmtId="0" fontId="24" fillId="0" borderId="0" xfId="0" applyFont="1"/>
    <xf numFmtId="0" fontId="27" fillId="0" borderId="0" xfId="0" applyFont="1"/>
    <xf numFmtId="43" fontId="27" fillId="0" borderId="1" xfId="1" applyFont="1" applyBorder="1"/>
    <xf numFmtId="169" fontId="27" fillId="0" borderId="3" xfId="7" applyNumberFormat="1" applyFont="1" applyBorder="1"/>
    <xf numFmtId="169" fontId="27" fillId="0" borderId="3" xfId="7" applyNumberFormat="1" applyFont="1" applyFill="1" applyBorder="1"/>
    <xf numFmtId="0" fontId="29" fillId="0" borderId="0" xfId="0" applyFont="1"/>
    <xf numFmtId="4" fontId="29" fillId="0" borderId="0" xfId="0" applyNumberFormat="1" applyFont="1"/>
    <xf numFmtId="0" fontId="21" fillId="0" borderId="9" xfId="0" applyFont="1" applyBorder="1" applyAlignment="1">
      <alignment horizontal="left"/>
    </xf>
    <xf numFmtId="0" fontId="21" fillId="0" borderId="4" xfId="0" applyFont="1" applyBorder="1"/>
    <xf numFmtId="170" fontId="5" fillId="0" borderId="0" xfId="0" applyNumberFormat="1" applyFont="1"/>
    <xf numFmtId="165" fontId="7" fillId="0" borderId="7" xfId="1" applyNumberFormat="1" applyFont="1" applyFill="1" applyBorder="1"/>
    <xf numFmtId="0" fontId="21" fillId="0" borderId="10" xfId="0" applyFont="1" applyBorder="1"/>
    <xf numFmtId="165" fontId="21" fillId="0" borderId="8" xfId="0" applyNumberFormat="1" applyFont="1" applyBorder="1" applyAlignment="1">
      <alignment horizontal="left"/>
    </xf>
    <xf numFmtId="0" fontId="21" fillId="0" borderId="11" xfId="0" applyFont="1" applyBorder="1"/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1" fillId="0" borderId="0" xfId="0" applyFont="1"/>
    <xf numFmtId="3" fontId="29" fillId="0" borderId="0" xfId="0" applyNumberFormat="1" applyFont="1" applyAlignment="1">
      <alignment horizontal="center"/>
    </xf>
    <xf numFmtId="0" fontId="32" fillId="0" borderId="0" xfId="0" applyFont="1"/>
    <xf numFmtId="0" fontId="33" fillId="0" borderId="0" xfId="0" applyFont="1"/>
    <xf numFmtId="3" fontId="29" fillId="0" borderId="0" xfId="0" applyNumberFormat="1" applyFont="1"/>
    <xf numFmtId="9" fontId="29" fillId="0" borderId="0" xfId="3" applyFont="1" applyFill="1" applyBorder="1"/>
    <xf numFmtId="39" fontId="29" fillId="0" borderId="0" xfId="0" applyNumberFormat="1" applyFont="1"/>
    <xf numFmtId="4" fontId="4" fillId="0" borderId="0" xfId="0" applyNumberFormat="1" applyFont="1"/>
    <xf numFmtId="171" fontId="4" fillId="0" borderId="0" xfId="0" applyNumberFormat="1" applyFont="1"/>
    <xf numFmtId="43" fontId="27" fillId="0" borderId="0" xfId="1" applyFont="1" applyBorder="1"/>
    <xf numFmtId="0" fontId="21" fillId="0" borderId="0" xfId="0" applyFont="1"/>
    <xf numFmtId="0" fontId="28" fillId="5" borderId="5" xfId="0" applyFont="1" applyFill="1" applyBorder="1"/>
    <xf numFmtId="0" fontId="28" fillId="5" borderId="6" xfId="0" applyFont="1" applyFill="1" applyBorder="1" applyAlignment="1">
      <alignment horizontal="center"/>
    </xf>
    <xf numFmtId="0" fontId="28" fillId="5" borderId="7" xfId="0" applyFont="1" applyFill="1" applyBorder="1"/>
    <xf numFmtId="0" fontId="28" fillId="5" borderId="8" xfId="0" applyFont="1" applyFill="1" applyBorder="1"/>
    <xf numFmtId="43" fontId="23" fillId="5" borderId="1" xfId="1" applyFont="1" applyFill="1" applyBorder="1"/>
    <xf numFmtId="166" fontId="23" fillId="5" borderId="1" xfId="1" applyNumberFormat="1" applyFont="1" applyFill="1" applyBorder="1"/>
    <xf numFmtId="0" fontId="23" fillId="5" borderId="2" xfId="0" applyFont="1" applyFill="1" applyBorder="1"/>
    <xf numFmtId="166" fontId="23" fillId="5" borderId="0" xfId="1" applyNumberFormat="1" applyFont="1" applyFill="1"/>
    <xf numFmtId="0" fontId="34" fillId="0" borderId="0" xfId="0" applyFont="1"/>
    <xf numFmtId="0" fontId="36" fillId="0" borderId="7" xfId="0" applyFont="1" applyBorder="1"/>
    <xf numFmtId="0" fontId="37" fillId="0" borderId="1" xfId="0" applyFont="1" applyBorder="1"/>
    <xf numFmtId="0" fontId="0" fillId="0" borderId="10" xfId="0" applyBorder="1"/>
    <xf numFmtId="0" fontId="37" fillId="0" borderId="7" xfId="0" applyFont="1" applyBorder="1"/>
    <xf numFmtId="4" fontId="37" fillId="0" borderId="1" xfId="0" applyNumberFormat="1" applyFont="1" applyBorder="1" applyAlignment="1">
      <alignment horizontal="right"/>
    </xf>
    <xf numFmtId="0" fontId="36" fillId="7" borderId="7" xfId="0" applyFont="1" applyFill="1" applyBorder="1"/>
    <xf numFmtId="4" fontId="37" fillId="7" borderId="1" xfId="0" applyNumberFormat="1" applyFont="1" applyFill="1" applyBorder="1" applyAlignment="1">
      <alignment horizontal="right"/>
    </xf>
    <xf numFmtId="0" fontId="37" fillId="0" borderId="8" xfId="0" applyFont="1" applyBorder="1"/>
    <xf numFmtId="4" fontId="37" fillId="0" borderId="3" xfId="0" applyNumberFormat="1" applyFont="1" applyBorder="1" applyAlignment="1">
      <alignment horizontal="right"/>
    </xf>
    <xf numFmtId="0" fontId="21" fillId="5" borderId="1" xfId="0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/>
    </xf>
    <xf numFmtId="4" fontId="2" fillId="0" borderId="10" xfId="0" applyNumberFormat="1" applyFont="1" applyBorder="1"/>
    <xf numFmtId="4" fontId="2" fillId="7" borderId="10" xfId="0" applyNumberFormat="1" applyFont="1" applyFill="1" applyBorder="1"/>
    <xf numFmtId="0" fontId="2" fillId="0" borderId="11" xfId="0" applyFont="1" applyBorder="1"/>
    <xf numFmtId="43" fontId="0" fillId="3" borderId="1" xfId="1" applyFont="1" applyFill="1" applyBorder="1" applyAlignment="1">
      <alignment horizontal="justify" vertical="top" wrapText="1"/>
    </xf>
    <xf numFmtId="164" fontId="18" fillId="3" borderId="1" xfId="5" applyFont="1" applyFill="1" applyBorder="1"/>
    <xf numFmtId="164" fontId="38" fillId="3" borderId="1" xfId="5" applyFont="1" applyFill="1" applyBorder="1"/>
    <xf numFmtId="0" fontId="38" fillId="3" borderId="1" xfId="0" applyFont="1" applyFill="1" applyBorder="1" applyAlignment="1">
      <alignment horizontal="center"/>
    </xf>
    <xf numFmtId="0" fontId="2" fillId="8" borderId="1" xfId="0" applyFont="1" applyFill="1" applyBorder="1"/>
    <xf numFmtId="0" fontId="22" fillId="8" borderId="1" xfId="0" applyFont="1" applyFill="1" applyBorder="1" applyAlignment="1">
      <alignment horizontal="left"/>
    </xf>
    <xf numFmtId="164" fontId="17" fillId="8" borderId="1" xfId="5" applyFont="1" applyFill="1" applyBorder="1"/>
    <xf numFmtId="0" fontId="0" fillId="8" borderId="1" xfId="0" applyFill="1" applyBorder="1"/>
    <xf numFmtId="166" fontId="0" fillId="8" borderId="1" xfId="1" applyNumberFormat="1" applyFont="1" applyFill="1" applyBorder="1"/>
    <xf numFmtId="172" fontId="0" fillId="0" borderId="1" xfId="1" applyNumberFormat="1" applyFont="1" applyBorder="1"/>
    <xf numFmtId="172" fontId="2" fillId="0" borderId="1" xfId="1" applyNumberFormat="1" applyFont="1" applyBorder="1"/>
    <xf numFmtId="172" fontId="1" fillId="3" borderId="1" xfId="1" applyNumberFormat="1" applyFont="1" applyFill="1" applyBorder="1"/>
    <xf numFmtId="172" fontId="2" fillId="3" borderId="1" xfId="1" applyNumberFormat="1" applyFont="1" applyFill="1" applyBorder="1"/>
    <xf numFmtId="172" fontId="23" fillId="5" borderId="1" xfId="1" applyNumberFormat="1" applyFont="1" applyFill="1" applyBorder="1"/>
    <xf numFmtId="173" fontId="0" fillId="0" borderId="0" xfId="1" applyNumberFormat="1" applyFont="1"/>
    <xf numFmtId="43" fontId="0" fillId="0" borderId="0" xfId="0" applyNumberFormat="1"/>
    <xf numFmtId="164" fontId="0" fillId="0" borderId="0" xfId="0" applyNumberFormat="1"/>
    <xf numFmtId="170" fontId="39" fillId="0" borderId="1" xfId="0" applyNumberFormat="1" applyFont="1" applyBorder="1" applyAlignment="1" applyProtection="1">
      <alignment horizontal="left"/>
      <protection locked="0"/>
    </xf>
    <xf numFmtId="0" fontId="40" fillId="0" borderId="0" xfId="0" applyFont="1"/>
    <xf numFmtId="0" fontId="23" fillId="0" borderId="1" xfId="0" applyFont="1" applyBorder="1"/>
    <xf numFmtId="0" fontId="20" fillId="0" borderId="1" xfId="0" applyFont="1" applyBorder="1"/>
    <xf numFmtId="43" fontId="2" fillId="0" borderId="1" xfId="1" applyFont="1" applyBorder="1"/>
    <xf numFmtId="0" fontId="2" fillId="0" borderId="1" xfId="0" applyFont="1" applyBorder="1"/>
    <xf numFmtId="164" fontId="0" fillId="0" borderId="1" xfId="5" applyFont="1" applyBorder="1"/>
    <xf numFmtId="164" fontId="1" fillId="3" borderId="1" xfId="5" applyFont="1" applyFill="1" applyBorder="1"/>
    <xf numFmtId="0" fontId="2" fillId="5" borderId="1" xfId="0" applyFont="1" applyFill="1" applyBorder="1"/>
    <xf numFmtId="0" fontId="2" fillId="5" borderId="2" xfId="0" applyFont="1" applyFill="1" applyBorder="1"/>
    <xf numFmtId="43" fontId="2" fillId="5" borderId="1" xfId="1" applyFont="1" applyFill="1" applyBorder="1" applyAlignment="1">
      <alignment horizontal="left" wrapText="1"/>
    </xf>
    <xf numFmtId="43" fontId="2" fillId="5" borderId="1" xfId="1" applyFont="1" applyFill="1" applyBorder="1"/>
    <xf numFmtId="164" fontId="2" fillId="5" borderId="1" xfId="5" applyFont="1" applyFill="1" applyBorder="1"/>
    <xf numFmtId="43" fontId="0" fillId="5" borderId="1" xfId="0" applyNumberFormat="1" applyFill="1" applyBorder="1"/>
    <xf numFmtId="174" fontId="2" fillId="5" borderId="1" xfId="0" applyNumberFormat="1" applyFont="1" applyFill="1" applyBorder="1"/>
    <xf numFmtId="174" fontId="2" fillId="5" borderId="1" xfId="1" applyNumberFormat="1" applyFont="1" applyFill="1" applyBorder="1"/>
    <xf numFmtId="0" fontId="41" fillId="0" borderId="0" xfId="0" applyFont="1"/>
    <xf numFmtId="0" fontId="42" fillId="0" borderId="0" xfId="0" applyFont="1"/>
    <xf numFmtId="43" fontId="20" fillId="0" borderId="1" xfId="1" applyFont="1" applyBorder="1"/>
    <xf numFmtId="43" fontId="0" fillId="0" borderId="10" xfId="1" applyFont="1" applyBorder="1"/>
    <xf numFmtId="0" fontId="0" fillId="5" borderId="1" xfId="0" applyFill="1" applyBorder="1"/>
    <xf numFmtId="0" fontId="8" fillId="5" borderId="1" xfId="0" applyFont="1" applyFill="1" applyBorder="1"/>
    <xf numFmtId="43" fontId="8" fillId="5" borderId="1" xfId="1" applyFont="1" applyFill="1" applyBorder="1"/>
    <xf numFmtId="43" fontId="23" fillId="0" borderId="0" xfId="1" applyFont="1" applyFill="1" applyBorder="1"/>
    <xf numFmtId="172" fontId="1" fillId="0" borderId="0" xfId="1" applyNumberFormat="1" applyFont="1" applyFill="1" applyBorder="1"/>
    <xf numFmtId="172" fontId="0" fillId="0" borderId="0" xfId="1" applyNumberFormat="1" applyFont="1" applyFill="1" applyBorder="1"/>
    <xf numFmtId="172" fontId="23" fillId="0" borderId="0" xfId="1" applyNumberFormat="1" applyFont="1" applyFill="1" applyBorder="1"/>
    <xf numFmtId="43" fontId="2" fillId="0" borderId="1" xfId="0" applyNumberFormat="1" applyFont="1" applyBorder="1"/>
    <xf numFmtId="43" fontId="2" fillId="5" borderId="1" xfId="0" applyNumberFormat="1" applyFont="1" applyFill="1" applyBorder="1"/>
    <xf numFmtId="0" fontId="43" fillId="0" borderId="0" xfId="0" applyFont="1"/>
    <xf numFmtId="10" fontId="4" fillId="0" borderId="0" xfId="0" applyNumberFormat="1" applyFont="1"/>
    <xf numFmtId="175" fontId="4" fillId="0" borderId="0" xfId="1" applyNumberFormat="1" applyFont="1"/>
    <xf numFmtId="43" fontId="37" fillId="0" borderId="1" xfId="1" applyFont="1" applyBorder="1" applyAlignment="1">
      <alignment horizontal="right"/>
    </xf>
    <xf numFmtId="4" fontId="36" fillId="9" borderId="1" xfId="0" applyNumberFormat="1" applyFont="1" applyFill="1" applyBorder="1" applyAlignment="1">
      <alignment horizontal="right"/>
    </xf>
    <xf numFmtId="4" fontId="37" fillId="0" borderId="1" xfId="0" applyNumberFormat="1" applyFont="1" applyBorder="1"/>
    <xf numFmtId="43" fontId="37" fillId="0" borderId="1" xfId="1" applyFont="1" applyBorder="1"/>
    <xf numFmtId="43" fontId="4" fillId="0" borderId="0" xfId="1" applyFont="1"/>
    <xf numFmtId="43" fontId="4" fillId="0" borderId="0" xfId="0" applyNumberFormat="1" applyFont="1"/>
    <xf numFmtId="9" fontId="4" fillId="0" borderId="0" xfId="6" applyFont="1"/>
    <xf numFmtId="9" fontId="4" fillId="0" borderId="0" xfId="0" applyNumberFormat="1" applyFont="1"/>
    <xf numFmtId="0" fontId="46" fillId="5" borderId="1" xfId="0" applyFont="1" applyFill="1" applyBorder="1" applyAlignment="1">
      <alignment horizontal="center" vertical="center"/>
    </xf>
    <xf numFmtId="4" fontId="36" fillId="5" borderId="1" xfId="0" applyNumberFormat="1" applyFont="1" applyFill="1" applyBorder="1" applyAlignment="1">
      <alignment horizontal="right"/>
    </xf>
    <xf numFmtId="0" fontId="49" fillId="0" borderId="0" xfId="0" applyFont="1"/>
    <xf numFmtId="0" fontId="0" fillId="2" borderId="0" xfId="0" applyFill="1"/>
    <xf numFmtId="0" fontId="50" fillId="2" borderId="0" xfId="0" applyFont="1" applyFill="1" applyAlignment="1">
      <alignment horizontal="center" vertical="center"/>
    </xf>
    <xf numFmtId="0" fontId="51" fillId="2" borderId="0" xfId="0" applyFont="1" applyFill="1"/>
    <xf numFmtId="0" fontId="52" fillId="2" borderId="0" xfId="0" applyFont="1" applyFill="1"/>
    <xf numFmtId="176" fontId="54" fillId="0" borderId="0" xfId="2" applyNumberFormat="1" applyFont="1"/>
    <xf numFmtId="4" fontId="6" fillId="0" borderId="0" xfId="2" applyNumberFormat="1" applyFont="1"/>
    <xf numFmtId="176" fontId="5" fillId="0" borderId="0" xfId="2" applyNumberFormat="1"/>
    <xf numFmtId="0" fontId="0" fillId="0" borderId="0" xfId="0" applyProtection="1">
      <protection locked="0"/>
    </xf>
    <xf numFmtId="176" fontId="6" fillId="0" borderId="7" xfId="2" applyNumberFormat="1" applyFont="1" applyBorder="1" applyAlignment="1">
      <alignment horizontal="center"/>
    </xf>
    <xf numFmtId="177" fontId="21" fillId="0" borderId="1" xfId="8" applyNumberFormat="1" applyFont="1" applyFill="1" applyBorder="1" applyAlignment="1">
      <alignment vertical="center"/>
    </xf>
    <xf numFmtId="3" fontId="6" fillId="0" borderId="1" xfId="2" applyNumberFormat="1" applyFont="1" applyBorder="1"/>
    <xf numFmtId="177" fontId="4" fillId="0" borderId="1" xfId="8" applyNumberFormat="1" applyFont="1" applyBorder="1" applyAlignment="1">
      <alignment horizontal="right"/>
    </xf>
    <xf numFmtId="177" fontId="21" fillId="0" borderId="1" xfId="8" applyNumberFormat="1" applyFont="1" applyBorder="1"/>
    <xf numFmtId="177" fontId="4" fillId="0" borderId="1" xfId="8" applyNumberFormat="1" applyFont="1" applyBorder="1"/>
    <xf numFmtId="176" fontId="4" fillId="0" borderId="1" xfId="2" applyNumberFormat="1" applyFont="1" applyBorder="1"/>
    <xf numFmtId="166" fontId="4" fillId="0" borderId="10" xfId="1" applyNumberFormat="1" applyFont="1" applyBorder="1"/>
    <xf numFmtId="4" fontId="4" fillId="2" borderId="0" xfId="0" applyNumberFormat="1" applyFont="1" applyFill="1"/>
    <xf numFmtId="4" fontId="52" fillId="2" borderId="0" xfId="0" applyNumberFormat="1" applyFont="1" applyFill="1"/>
    <xf numFmtId="4" fontId="6" fillId="0" borderId="1" xfId="2" applyNumberFormat="1" applyFont="1" applyBorder="1"/>
    <xf numFmtId="165" fontId="6" fillId="0" borderId="1" xfId="1" applyNumberFormat="1" applyFont="1" applyFill="1" applyBorder="1"/>
    <xf numFmtId="0" fontId="4" fillId="2" borderId="0" xfId="0" applyFont="1" applyFill="1"/>
    <xf numFmtId="176" fontId="6" fillId="0" borderId="8" xfId="2" applyNumberFormat="1" applyFont="1" applyBorder="1" applyAlignment="1">
      <alignment horizontal="center"/>
    </xf>
    <xf numFmtId="4" fontId="6" fillId="0" borderId="3" xfId="2" applyNumberFormat="1" applyFont="1" applyBorder="1"/>
    <xf numFmtId="3" fontId="6" fillId="0" borderId="3" xfId="2" applyNumberFormat="1" applyFont="1" applyBorder="1"/>
    <xf numFmtId="166" fontId="4" fillId="0" borderId="11" xfId="1" applyNumberFormat="1" applyFont="1" applyBorder="1"/>
    <xf numFmtId="176" fontId="6" fillId="0" borderId="0" xfId="2" applyNumberFormat="1" applyFont="1" applyAlignment="1">
      <alignment horizontal="center"/>
    </xf>
    <xf numFmtId="3" fontId="6" fillId="0" borderId="0" xfId="2" applyNumberFormat="1" applyFont="1"/>
    <xf numFmtId="4" fontId="7" fillId="0" borderId="0" xfId="2" applyNumberFormat="1" applyFont="1"/>
    <xf numFmtId="176" fontId="55" fillId="0" borderId="0" xfId="2" applyNumberFormat="1" applyFont="1"/>
    <xf numFmtId="176" fontId="56" fillId="0" borderId="0" xfId="2" applyNumberFormat="1" applyFont="1"/>
    <xf numFmtId="176" fontId="4" fillId="0" borderId="0" xfId="2" applyNumberFormat="1" applyFont="1"/>
    <xf numFmtId="176" fontId="21" fillId="0" borderId="0" xfId="2" applyNumberFormat="1" applyFont="1"/>
    <xf numFmtId="4" fontId="7" fillId="0" borderId="0" xfId="2" applyNumberFormat="1" applyFont="1" applyAlignment="1">
      <alignment horizontal="center"/>
    </xf>
    <xf numFmtId="4" fontId="6" fillId="0" borderId="10" xfId="2" applyNumberFormat="1" applyFont="1" applyBorder="1"/>
    <xf numFmtId="176" fontId="21" fillId="7" borderId="8" xfId="2" applyNumberFormat="1" applyFont="1" applyFill="1" applyBorder="1" applyAlignment="1">
      <alignment horizontal="center"/>
    </xf>
    <xf numFmtId="3" fontId="21" fillId="7" borderId="3" xfId="2" applyNumberFormat="1" applyFont="1" applyFill="1" applyBorder="1"/>
    <xf numFmtId="4" fontId="21" fillId="7" borderId="3" xfId="2" applyNumberFormat="1" applyFont="1" applyFill="1" applyBorder="1"/>
    <xf numFmtId="4" fontId="21" fillId="7" borderId="11" xfId="2" applyNumberFormat="1" applyFont="1" applyFill="1" applyBorder="1"/>
    <xf numFmtId="176" fontId="21" fillId="0" borderId="0" xfId="2" applyNumberFormat="1" applyFont="1" applyAlignment="1">
      <alignment horizontal="right"/>
    </xf>
    <xf numFmtId="4" fontId="57" fillId="0" borderId="0" xfId="2" applyNumberFormat="1" applyFont="1"/>
    <xf numFmtId="176" fontId="21" fillId="0" borderId="0" xfId="2" applyNumberFormat="1" applyFont="1" applyAlignment="1">
      <alignment horizontal="center"/>
    </xf>
    <xf numFmtId="3" fontId="4" fillId="0" borderId="0" xfId="2" applyNumberFormat="1" applyFont="1"/>
    <xf numFmtId="176" fontId="4" fillId="0" borderId="0" xfId="2" applyNumberFormat="1" applyFont="1" applyAlignment="1">
      <alignment horizontal="right"/>
    </xf>
    <xf numFmtId="10" fontId="5" fillId="0" borderId="0" xfId="2" applyNumberFormat="1"/>
    <xf numFmtId="176" fontId="6" fillId="0" borderId="0" xfId="2" applyNumberFormat="1" applyFont="1"/>
    <xf numFmtId="176" fontId="7" fillId="0" borderId="5" xfId="2" applyNumberFormat="1" applyFont="1" applyBorder="1"/>
    <xf numFmtId="4" fontId="7" fillId="0" borderId="12" xfId="9" applyNumberFormat="1" applyFont="1" applyFill="1" applyBorder="1" applyAlignment="1">
      <alignment horizontal="right"/>
    </xf>
    <xf numFmtId="176" fontId="7" fillId="0" borderId="7" xfId="2" applyNumberFormat="1" applyFont="1" applyBorder="1"/>
    <xf numFmtId="10" fontId="7" fillId="0" borderId="10" xfId="3" applyNumberFormat="1" applyFont="1" applyFill="1" applyBorder="1" applyAlignment="1">
      <alignment horizontal="right"/>
    </xf>
    <xf numFmtId="176" fontId="7" fillId="0" borderId="8" xfId="2" applyNumberFormat="1" applyFont="1" applyBorder="1"/>
    <xf numFmtId="2" fontId="7" fillId="0" borderId="11" xfId="2" applyNumberFormat="1" applyFont="1" applyBorder="1" applyAlignment="1">
      <alignment horizontal="right"/>
    </xf>
    <xf numFmtId="0" fontId="4" fillId="0" borderId="0" xfId="0" applyFont="1" applyProtection="1">
      <protection locked="0"/>
    </xf>
    <xf numFmtId="176" fontId="7" fillId="5" borderId="5" xfId="2" applyNumberFormat="1" applyFont="1" applyFill="1" applyBorder="1"/>
    <xf numFmtId="4" fontId="7" fillId="5" borderId="6" xfId="2" applyNumberFormat="1" applyFont="1" applyFill="1" applyBorder="1"/>
    <xf numFmtId="176" fontId="7" fillId="5" borderId="7" xfId="2" applyNumberFormat="1" applyFont="1" applyFill="1" applyBorder="1" applyAlignment="1">
      <alignment horizontal="center"/>
    </xf>
    <xf numFmtId="4" fontId="7" fillId="5" borderId="1" xfId="2" applyNumberFormat="1" applyFont="1" applyFill="1" applyBorder="1" applyAlignment="1">
      <alignment horizontal="center"/>
    </xf>
    <xf numFmtId="176" fontId="7" fillId="5" borderId="1" xfId="2" applyNumberFormat="1" applyFont="1" applyFill="1" applyBorder="1" applyAlignment="1">
      <alignment horizontal="center"/>
    </xf>
    <xf numFmtId="176" fontId="7" fillId="5" borderId="1" xfId="2" applyNumberFormat="1" applyFont="1" applyFill="1" applyBorder="1"/>
    <xf numFmtId="176" fontId="7" fillId="5" borderId="5" xfId="2" applyNumberFormat="1" applyFont="1" applyFill="1" applyBorder="1" applyAlignment="1">
      <alignment horizontal="center"/>
    </xf>
    <xf numFmtId="4" fontId="7" fillId="5" borderId="6" xfId="2" applyNumberFormat="1" applyFont="1" applyFill="1" applyBorder="1" applyAlignment="1">
      <alignment horizontal="center"/>
    </xf>
    <xf numFmtId="4" fontId="7" fillId="5" borderId="12" xfId="2" applyNumberFormat="1" applyFont="1" applyFill="1" applyBorder="1" applyAlignment="1">
      <alignment horizontal="center"/>
    </xf>
    <xf numFmtId="4" fontId="7" fillId="5" borderId="10" xfId="2" applyNumberFormat="1" applyFont="1" applyFill="1" applyBorder="1" applyAlignment="1">
      <alignment horizontal="center"/>
    </xf>
    <xf numFmtId="178" fontId="7" fillId="5" borderId="1" xfId="3" applyNumberFormat="1" applyFont="1" applyFill="1" applyBorder="1" applyAlignment="1">
      <alignment horizontal="center"/>
    </xf>
    <xf numFmtId="176" fontId="7" fillId="5" borderId="10" xfId="2" applyNumberFormat="1" applyFont="1" applyFill="1" applyBorder="1" applyAlignment="1">
      <alignment horizontal="center"/>
    </xf>
    <xf numFmtId="9" fontId="48" fillId="0" borderId="0" xfId="6" applyFont="1"/>
    <xf numFmtId="0" fontId="46" fillId="0" borderId="1" xfId="0" applyFont="1" applyBorder="1"/>
    <xf numFmtId="0" fontId="45" fillId="0" borderId="1" xfId="0" applyFont="1" applyBorder="1"/>
    <xf numFmtId="0" fontId="46" fillId="9" borderId="1" xfId="0" applyFont="1" applyFill="1" applyBorder="1"/>
    <xf numFmtId="0" fontId="47" fillId="0" borderId="1" xfId="0" applyFont="1" applyBorder="1"/>
    <xf numFmtId="0" fontId="46" fillId="5" borderId="1" xfId="0" applyFont="1" applyFill="1" applyBorder="1"/>
    <xf numFmtId="4" fontId="4" fillId="0" borderId="1" xfId="0" applyNumberFormat="1" applyFont="1" applyBorder="1"/>
    <xf numFmtId="0" fontId="58" fillId="0" borderId="0" xfId="0" applyFont="1"/>
    <xf numFmtId="0" fontId="0" fillId="0" borderId="1" xfId="0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43" fontId="0" fillId="0" borderId="1" xfId="1" applyFont="1" applyBorder="1" applyAlignment="1">
      <alignment horizont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10" xfId="0" applyNumberFormat="1" applyBorder="1"/>
    <xf numFmtId="0" fontId="21" fillId="9" borderId="3" xfId="0" applyFont="1" applyFill="1" applyBorder="1" applyAlignment="1">
      <alignment horizontal="right"/>
    </xf>
    <xf numFmtId="0" fontId="0" fillId="9" borderId="3" xfId="0" applyFill="1" applyBorder="1"/>
    <xf numFmtId="4" fontId="0" fillId="9" borderId="3" xfId="0" applyNumberFormat="1" applyFill="1" applyBorder="1"/>
    <xf numFmtId="4" fontId="21" fillId="9" borderId="3" xfId="0" applyNumberFormat="1" applyFont="1" applyFill="1" applyBorder="1"/>
    <xf numFmtId="0" fontId="21" fillId="9" borderId="3" xfId="0" applyFont="1" applyFill="1" applyBorder="1" applyAlignment="1">
      <alignment horizontal="center"/>
    </xf>
    <xf numFmtId="166" fontId="21" fillId="9" borderId="3" xfId="1" applyNumberFormat="1" applyFont="1" applyFill="1" applyBorder="1"/>
    <xf numFmtId="166" fontId="21" fillId="9" borderId="11" xfId="1" applyNumberFormat="1" applyFont="1" applyFill="1" applyBorder="1"/>
    <xf numFmtId="0" fontId="21" fillId="5" borderId="6" xfId="0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 wrapText="1"/>
    </xf>
    <xf numFmtId="176" fontId="7" fillId="0" borderId="0" xfId="2" applyNumberFormat="1" applyFont="1" applyAlignment="1">
      <alignment horizontal="center"/>
    </xf>
    <xf numFmtId="0" fontId="59" fillId="0" borderId="0" xfId="0" applyFont="1"/>
    <xf numFmtId="0" fontId="59" fillId="0" borderId="0" xfId="2" applyNumberFormat="1" applyFont="1"/>
    <xf numFmtId="0" fontId="62" fillId="0" borderId="0" xfId="2" applyNumberFormat="1" applyFont="1" applyAlignment="1">
      <alignment horizontal="center" vertical="center" wrapText="1"/>
    </xf>
    <xf numFmtId="179" fontId="63" fillId="0" borderId="0" xfId="2" applyNumberFormat="1" applyFont="1" applyAlignment="1">
      <alignment horizontal="center" vertical="center" wrapText="1"/>
    </xf>
    <xf numFmtId="180" fontId="63" fillId="0" borderId="0" xfId="2" applyNumberFormat="1" applyFont="1" applyAlignment="1">
      <alignment horizontal="center" vertical="center" wrapText="1"/>
    </xf>
    <xf numFmtId="0" fontId="63" fillId="0" borderId="0" xfId="2" applyNumberFormat="1" applyFont="1" applyAlignment="1">
      <alignment horizontal="center" vertical="center" wrapText="1"/>
    </xf>
    <xf numFmtId="0" fontId="63" fillId="0" borderId="0" xfId="2" applyNumberFormat="1" applyFont="1"/>
    <xf numFmtId="0" fontId="64" fillId="0" borderId="1" xfId="2" applyNumberFormat="1" applyFont="1" applyBorder="1" applyAlignment="1">
      <alignment vertical="center" wrapText="1"/>
    </xf>
    <xf numFmtId="43" fontId="63" fillId="0" borderId="1" xfId="10" applyFont="1" applyBorder="1" applyAlignment="1">
      <alignment horizontal="right" vertical="center" wrapText="1"/>
    </xf>
    <xf numFmtId="180" fontId="63" fillId="0" borderId="1" xfId="2" applyNumberFormat="1" applyFont="1" applyBorder="1" applyAlignment="1">
      <alignment horizontal="center" vertical="center" wrapText="1"/>
    </xf>
    <xf numFmtId="43" fontId="63" fillId="0" borderId="21" xfId="10" applyFont="1" applyBorder="1" applyAlignment="1">
      <alignment horizontal="right" vertical="center" wrapText="1"/>
    </xf>
    <xf numFmtId="43" fontId="63" fillId="0" borderId="22" xfId="10" applyFont="1" applyBorder="1" applyAlignment="1">
      <alignment horizontal="right" vertical="center" wrapText="1"/>
    </xf>
    <xf numFmtId="0" fontId="63" fillId="0" borderId="1" xfId="2" applyNumberFormat="1" applyFont="1" applyBorder="1" applyAlignment="1">
      <alignment horizontal="left" vertical="center" wrapText="1" indent="1"/>
    </xf>
    <xf numFmtId="43" fontId="63" fillId="0" borderId="1" xfId="10" applyFont="1" applyFill="1" applyBorder="1" applyAlignment="1">
      <alignment horizontal="right" vertical="center" wrapText="1"/>
    </xf>
    <xf numFmtId="43" fontId="63" fillId="0" borderId="21" xfId="10" applyFont="1" applyFill="1" applyBorder="1" applyAlignment="1">
      <alignment horizontal="right" vertical="center" wrapText="1"/>
    </xf>
    <xf numFmtId="0" fontId="62" fillId="0" borderId="1" xfId="2" applyNumberFormat="1" applyFont="1" applyBorder="1" applyAlignment="1">
      <alignment horizontal="left" vertical="center" wrapText="1" indent="1"/>
    </xf>
    <xf numFmtId="43" fontId="62" fillId="0" borderId="1" xfId="10" applyFont="1" applyBorder="1" applyAlignment="1">
      <alignment horizontal="right" vertical="center" wrapText="1"/>
    </xf>
    <xf numFmtId="180" fontId="62" fillId="0" borderId="1" xfId="2" applyNumberFormat="1" applyFont="1" applyBorder="1" applyAlignment="1">
      <alignment horizontal="center" vertical="center" wrapText="1"/>
    </xf>
    <xf numFmtId="43" fontId="62" fillId="0" borderId="1" xfId="10" applyFont="1" applyFill="1" applyBorder="1" applyAlignment="1">
      <alignment horizontal="right" vertical="center" wrapText="1"/>
    </xf>
    <xf numFmtId="43" fontId="62" fillId="0" borderId="22" xfId="10" applyFont="1" applyBorder="1" applyAlignment="1">
      <alignment horizontal="right" vertical="center" wrapText="1"/>
    </xf>
    <xf numFmtId="43" fontId="63" fillId="0" borderId="22" xfId="10" applyFont="1" applyFill="1" applyBorder="1" applyAlignment="1">
      <alignment horizontal="right" vertical="center" wrapText="1"/>
    </xf>
    <xf numFmtId="0" fontId="59" fillId="0" borderId="0" xfId="2" applyNumberFormat="1" applyFont="1" applyAlignment="1">
      <alignment horizontal="center" vertical="center" wrapText="1"/>
    </xf>
    <xf numFmtId="43" fontId="63" fillId="0" borderId="0" xfId="2" applyNumberFormat="1" applyFont="1"/>
    <xf numFmtId="43" fontId="62" fillId="0" borderId="0" xfId="2" applyNumberFormat="1" applyFont="1"/>
    <xf numFmtId="0" fontId="63" fillId="0" borderId="1" xfId="2" applyNumberFormat="1" applyFont="1" applyBorder="1" applyAlignment="1">
      <alignment horizontal="left" vertical="center" wrapText="1" indent="2"/>
    </xf>
    <xf numFmtId="0" fontId="62" fillId="0" borderId="1" xfId="2" applyNumberFormat="1" applyFont="1" applyBorder="1" applyAlignment="1">
      <alignment horizontal="left" vertical="center" wrapText="1" indent="2"/>
    </xf>
    <xf numFmtId="43" fontId="63" fillId="0" borderId="23" xfId="10" applyFont="1" applyFill="1" applyBorder="1" applyAlignment="1">
      <alignment horizontal="right" vertical="center" wrapText="1"/>
    </xf>
    <xf numFmtId="43" fontId="63" fillId="0" borderId="24" xfId="10" applyFont="1" applyBorder="1" applyAlignment="1">
      <alignment horizontal="right" vertical="center" wrapText="1"/>
    </xf>
    <xf numFmtId="180" fontId="63" fillId="0" borderId="0" xfId="2" applyNumberFormat="1" applyFont="1" applyAlignment="1">
      <alignment horizontal="right" vertical="center" wrapText="1"/>
    </xf>
    <xf numFmtId="43" fontId="63" fillId="0" borderId="0" xfId="10" applyFont="1" applyAlignment="1">
      <alignment horizontal="right" vertical="center" wrapText="1"/>
    </xf>
    <xf numFmtId="0" fontId="63" fillId="0" borderId="0" xfId="2" applyNumberFormat="1" applyFont="1" applyAlignment="1">
      <alignment horizontal="right" vertical="center" wrapText="1"/>
    </xf>
    <xf numFmtId="179" fontId="63" fillId="0" borderId="0" xfId="2" applyNumberFormat="1" applyFont="1" applyAlignment="1">
      <alignment horizontal="right" vertical="center" wrapText="1"/>
    </xf>
    <xf numFmtId="0" fontId="0" fillId="0" borderId="27" xfId="0" applyBorder="1"/>
    <xf numFmtId="0" fontId="0" fillId="0" borderId="28" xfId="0" applyBorder="1"/>
    <xf numFmtId="0" fontId="0" fillId="0" borderId="29" xfId="0" applyBorder="1" applyAlignment="1">
      <alignment horizontal="right"/>
    </xf>
    <xf numFmtId="0" fontId="0" fillId="0" borderId="30" xfId="0" applyBorder="1"/>
    <xf numFmtId="0" fontId="0" fillId="0" borderId="31" xfId="0" applyBorder="1"/>
    <xf numFmtId="43" fontId="0" fillId="0" borderId="31" xfId="1" applyFont="1" applyBorder="1"/>
    <xf numFmtId="181" fontId="0" fillId="0" borderId="31" xfId="0" applyNumberFormat="1" applyBorder="1"/>
    <xf numFmtId="43" fontId="62" fillId="5" borderId="25" xfId="10" applyFont="1" applyFill="1" applyBorder="1" applyAlignment="1">
      <alignment horizontal="right" vertical="center" wrapText="1"/>
    </xf>
    <xf numFmtId="43" fontId="62" fillId="5" borderId="26" xfId="10" applyFont="1" applyFill="1" applyBorder="1" applyAlignment="1">
      <alignment horizontal="center" vertical="center" wrapText="1"/>
    </xf>
    <xf numFmtId="0" fontId="2" fillId="5" borderId="9" xfId="0" applyFont="1" applyFill="1" applyBorder="1"/>
    <xf numFmtId="0" fontId="2" fillId="5" borderId="14" xfId="0" applyFont="1" applyFill="1" applyBorder="1"/>
    <xf numFmtId="181" fontId="2" fillId="5" borderId="15" xfId="0" applyNumberFormat="1" applyFont="1" applyFill="1" applyBorder="1"/>
    <xf numFmtId="182" fontId="0" fillId="0" borderId="1" xfId="0" applyNumberFormat="1" applyBorder="1"/>
    <xf numFmtId="164" fontId="0" fillId="0" borderId="0" xfId="5" applyFont="1"/>
    <xf numFmtId="0" fontId="66" fillId="0" borderId="1" xfId="2" applyNumberFormat="1" applyFont="1" applyBorder="1" applyAlignment="1">
      <alignment vertical="center" wrapText="1"/>
    </xf>
    <xf numFmtId="0" fontId="60" fillId="3" borderId="16" xfId="2" applyNumberFormat="1" applyFont="1" applyFill="1" applyBorder="1" applyAlignment="1">
      <alignment horizontal="center"/>
    </xf>
    <xf numFmtId="0" fontId="61" fillId="0" borderId="0" xfId="2" applyNumberFormat="1" applyFont="1" applyAlignment="1">
      <alignment horizontal="center"/>
    </xf>
    <xf numFmtId="0" fontId="62" fillId="5" borderId="1" xfId="2" applyNumberFormat="1" applyFont="1" applyFill="1" applyBorder="1" applyAlignment="1">
      <alignment horizontal="center" vertical="center" wrapText="1"/>
    </xf>
    <xf numFmtId="179" fontId="62" fillId="5" borderId="1" xfId="2" applyNumberFormat="1" applyFont="1" applyFill="1" applyBorder="1" applyAlignment="1">
      <alignment horizontal="center" vertical="center" wrapText="1"/>
    </xf>
    <xf numFmtId="180" fontId="62" fillId="5" borderId="1" xfId="2" applyNumberFormat="1" applyFont="1" applyFill="1" applyBorder="1" applyAlignment="1">
      <alignment horizontal="center" vertical="center" wrapText="1"/>
    </xf>
    <xf numFmtId="179" fontId="62" fillId="5" borderId="17" xfId="2" applyNumberFormat="1" applyFont="1" applyFill="1" applyBorder="1" applyAlignment="1">
      <alignment horizontal="center" vertical="center" wrapText="1"/>
    </xf>
    <xf numFmtId="179" fontId="62" fillId="5" borderId="18" xfId="2" applyNumberFormat="1" applyFont="1" applyFill="1" applyBorder="1" applyAlignment="1">
      <alignment horizontal="center" vertical="center" wrapText="1"/>
    </xf>
    <xf numFmtId="179" fontId="62" fillId="5" borderId="19" xfId="2" applyNumberFormat="1" applyFont="1" applyFill="1" applyBorder="1" applyAlignment="1">
      <alignment horizontal="center" vertical="center" wrapText="1"/>
    </xf>
    <xf numFmtId="179" fontId="62" fillId="5" borderId="20" xfId="2" applyNumberFormat="1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5" borderId="1" xfId="0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/>
    </xf>
    <xf numFmtId="0" fontId="43" fillId="5" borderId="9" xfId="0" applyFont="1" applyFill="1" applyBorder="1" applyAlignment="1">
      <alignment horizontal="center"/>
    </xf>
    <xf numFmtId="0" fontId="43" fillId="5" borderId="14" xfId="0" applyFont="1" applyFill="1" applyBorder="1" applyAlignment="1">
      <alignment horizontal="center"/>
    </xf>
    <xf numFmtId="0" fontId="43" fillId="5" borderId="15" xfId="0" applyFont="1" applyFill="1" applyBorder="1" applyAlignment="1">
      <alignment horizontal="center"/>
    </xf>
    <xf numFmtId="3" fontId="53" fillId="5" borderId="9" xfId="2" applyNumberFormat="1" applyFont="1" applyFill="1" applyBorder="1" applyAlignment="1">
      <alignment horizontal="center"/>
    </xf>
    <xf numFmtId="3" fontId="53" fillId="5" borderId="14" xfId="2" applyNumberFormat="1" applyFont="1" applyFill="1" applyBorder="1" applyAlignment="1">
      <alignment horizontal="center"/>
    </xf>
    <xf numFmtId="3" fontId="53" fillId="5" borderId="15" xfId="2" applyNumberFormat="1" applyFont="1" applyFill="1" applyBorder="1" applyAlignment="1">
      <alignment horizontal="center"/>
    </xf>
    <xf numFmtId="4" fontId="7" fillId="5" borderId="6" xfId="2" applyNumberFormat="1" applyFont="1" applyFill="1" applyBorder="1" applyAlignment="1">
      <alignment horizontal="center"/>
    </xf>
    <xf numFmtId="176" fontId="7" fillId="5" borderId="12" xfId="2" applyNumberFormat="1" applyFont="1" applyFill="1" applyBorder="1" applyAlignment="1">
      <alignment horizontal="center" wrapText="1"/>
    </xf>
    <xf numFmtId="176" fontId="7" fillId="5" borderId="10" xfId="2" applyNumberFormat="1" applyFont="1" applyFill="1" applyBorder="1" applyAlignment="1">
      <alignment horizont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5" fillId="0" borderId="0" xfId="0" applyFont="1" applyAlignment="1">
      <alignment horizontal="center" wrapText="1"/>
    </xf>
    <xf numFmtId="0" fontId="21" fillId="5" borderId="5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/>
    </xf>
    <xf numFmtId="0" fontId="21" fillId="5" borderId="12" xfId="0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</cellXfs>
  <cellStyles count="11">
    <cellStyle name="Hipervínculo" xfId="4" builtinId="8"/>
    <cellStyle name="Millares" xfId="1" builtinId="3"/>
    <cellStyle name="Millares [0]" xfId="7" builtinId="6"/>
    <cellStyle name="Millares 3" xfId="10" xr:uid="{00000000-0005-0000-0000-000003000000}"/>
    <cellStyle name="Millares_EVALUACION_APICOLA_FINAL_formato  Max_corregida 2" xfId="8" xr:uid="{00000000-0005-0000-0000-000004000000}"/>
    <cellStyle name="Moneda" xfId="5" builtinId="4"/>
    <cellStyle name="Moneda_EVALUACION_APICOLA_FINAL_formato  Max_corregida 2" xfId="9" xr:uid="{00000000-0005-0000-0000-000006000000}"/>
    <cellStyle name="Normal" xfId="0" builtinId="0"/>
    <cellStyle name="Normal 2" xfId="2" xr:uid="{00000000-0005-0000-0000-000008000000}"/>
    <cellStyle name="Porcentaje" xfId="6" builtinId="5"/>
    <cellStyle name="Porcentual 2" xfId="3" xr:uid="{00000000-0005-0000-0000-00000A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color auto="1"/>
      </font>
      <fill>
        <patternFill>
          <bgColor indexed="26"/>
        </patternFill>
      </fill>
    </dxf>
  </dxfs>
  <tableStyles count="0" defaultTableStyle="TableStyleMedium9" defaultPivotStyle="PivotStyleLight16"/>
  <colors>
    <mruColors>
      <color rgb="FFD16309"/>
      <color rgb="FF602E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28</xdr:row>
      <xdr:rowOff>0</xdr:rowOff>
    </xdr:from>
    <xdr:to>
      <xdr:col>4</xdr:col>
      <xdr:colOff>0</xdr:colOff>
      <xdr:row>28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ShapeType="1"/>
        </xdr:cNvSpPr>
      </xdr:nvSpPr>
      <xdr:spPr bwMode="auto">
        <a:xfrm>
          <a:off x="2486025" y="5467350"/>
          <a:ext cx="1028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428625</xdr:colOff>
      <xdr:row>60</xdr:row>
      <xdr:rowOff>0</xdr:rowOff>
    </xdr:from>
    <xdr:to>
      <xdr:col>3</xdr:col>
      <xdr:colOff>95250</xdr:colOff>
      <xdr:row>60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2009775" y="11572875"/>
          <a:ext cx="571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MX" sz="800" b="1" i="0" strike="noStrike">
              <a:solidFill>
                <a:srgbClr val="000000"/>
              </a:solidFill>
              <a:latin typeface="Arial"/>
              <a:cs typeface="Arial"/>
            </a:rPr>
            <a:t>TIR =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5"/>
  <sheetViews>
    <sheetView showGridLines="0" tabSelected="1" workbookViewId="0">
      <selection activeCell="K4" sqref="K4"/>
    </sheetView>
  </sheetViews>
  <sheetFormatPr baseColWidth="10" defaultRowHeight="15"/>
  <cols>
    <col min="1" max="1" width="6.140625" customWidth="1"/>
    <col min="2" max="2" width="41.28515625" customWidth="1"/>
    <col min="5" max="5" width="16.5703125" customWidth="1"/>
    <col min="6" max="6" width="16.42578125" customWidth="1"/>
    <col min="7" max="7" width="17.85546875" hidden="1" customWidth="1"/>
    <col min="8" max="8" width="16.28515625" hidden="1" customWidth="1"/>
    <col min="9" max="9" width="11.5703125" bestFit="1" customWidth="1"/>
    <col min="10" max="11" width="12.5703125" bestFit="1" customWidth="1"/>
  </cols>
  <sheetData>
    <row r="1" spans="2:11" ht="76.5" customHeight="1">
      <c r="B1" s="331" t="s">
        <v>233</v>
      </c>
      <c r="C1" s="332"/>
      <c r="D1" s="332"/>
      <c r="E1" s="332"/>
      <c r="F1" s="332"/>
      <c r="G1" s="332"/>
      <c r="H1" s="332"/>
    </row>
    <row r="2" spans="2:11" ht="21">
      <c r="B2" s="333" t="s">
        <v>47</v>
      </c>
      <c r="C2" s="333"/>
      <c r="D2" s="333"/>
      <c r="E2" s="333"/>
      <c r="F2" s="333"/>
      <c r="G2" s="333"/>
      <c r="H2" s="333"/>
    </row>
    <row r="3" spans="2:11" s="17" customFormat="1" ht="31.5">
      <c r="B3" s="27" t="s">
        <v>48</v>
      </c>
      <c r="C3" s="27" t="s">
        <v>43</v>
      </c>
      <c r="D3" s="27" t="s">
        <v>44</v>
      </c>
      <c r="E3" s="28" t="s">
        <v>49</v>
      </c>
      <c r="F3" s="27" t="s">
        <v>51</v>
      </c>
      <c r="G3" s="27" t="s">
        <v>169</v>
      </c>
      <c r="H3" s="27" t="s">
        <v>50</v>
      </c>
      <c r="I3" s="307"/>
      <c r="J3" s="308"/>
      <c r="K3" s="308"/>
    </row>
    <row r="4" spans="2:11">
      <c r="B4" s="29" t="s">
        <v>52</v>
      </c>
      <c r="C4" s="29"/>
      <c r="D4" s="29"/>
      <c r="E4" s="30"/>
      <c r="F4" s="30"/>
      <c r="G4" s="30"/>
      <c r="H4" s="30"/>
    </row>
    <row r="5" spans="2:11" ht="15.75">
      <c r="B5" s="118" t="s">
        <v>232</v>
      </c>
      <c r="C5" s="104" t="s">
        <v>225</v>
      </c>
      <c r="D5" s="104">
        <v>1</v>
      </c>
      <c r="E5" s="103">
        <v>15000000</v>
      </c>
      <c r="F5" s="19">
        <f t="shared" ref="F5:F12" si="0">E5*D5</f>
        <v>15000000</v>
      </c>
      <c r="G5" s="103">
        <f>F5</f>
        <v>15000000</v>
      </c>
      <c r="H5" s="103"/>
      <c r="J5" s="117"/>
    </row>
    <row r="6" spans="2:11" ht="15.75">
      <c r="B6" s="118" t="s">
        <v>226</v>
      </c>
      <c r="C6" s="104" t="s">
        <v>175</v>
      </c>
      <c r="D6" s="104">
        <v>1</v>
      </c>
      <c r="E6" s="103">
        <v>5000000</v>
      </c>
      <c r="F6" s="19">
        <f t="shared" si="0"/>
        <v>5000000</v>
      </c>
      <c r="G6" s="103">
        <f>F6</f>
        <v>5000000</v>
      </c>
      <c r="H6" s="103"/>
      <c r="J6" s="117"/>
    </row>
    <row r="7" spans="2:11" ht="15.75">
      <c r="B7" s="118" t="s">
        <v>227</v>
      </c>
      <c r="C7" s="104" t="s">
        <v>175</v>
      </c>
      <c r="D7" s="104">
        <v>1</v>
      </c>
      <c r="E7" s="103">
        <v>5200000</v>
      </c>
      <c r="F7" s="19">
        <f t="shared" si="0"/>
        <v>5200000</v>
      </c>
      <c r="G7" s="103"/>
      <c r="H7" s="103"/>
      <c r="J7" s="117"/>
    </row>
    <row r="8" spans="2:11" ht="15.75">
      <c r="B8" s="118"/>
      <c r="C8" s="104"/>
      <c r="D8" s="104"/>
      <c r="E8" s="103"/>
      <c r="F8" s="19">
        <f t="shared" si="0"/>
        <v>0</v>
      </c>
      <c r="G8" s="103"/>
      <c r="H8" s="103"/>
      <c r="J8" s="117"/>
    </row>
    <row r="9" spans="2:11" ht="15.75">
      <c r="B9" s="118"/>
      <c r="C9" s="104"/>
      <c r="D9" s="104"/>
      <c r="E9" s="103"/>
      <c r="F9" s="19">
        <f t="shared" si="0"/>
        <v>0</v>
      </c>
      <c r="G9" s="103"/>
      <c r="H9" s="103"/>
      <c r="J9" s="117"/>
    </row>
    <row r="10" spans="2:11" ht="15.75">
      <c r="B10" s="118"/>
      <c r="C10" s="104"/>
      <c r="D10" s="104"/>
      <c r="E10" s="103"/>
      <c r="F10" s="19">
        <f t="shared" si="0"/>
        <v>0</v>
      </c>
      <c r="G10" s="103"/>
      <c r="H10" s="103"/>
      <c r="J10" s="117"/>
    </row>
    <row r="11" spans="2:11" ht="15.75">
      <c r="B11" s="118"/>
      <c r="C11" s="104"/>
      <c r="D11" s="104"/>
      <c r="E11" s="103"/>
      <c r="F11" s="19">
        <f t="shared" si="0"/>
        <v>0</v>
      </c>
      <c r="G11" s="103"/>
      <c r="H11" s="103"/>
      <c r="J11" s="117"/>
    </row>
    <row r="12" spans="2:11" ht="15.75">
      <c r="B12" s="118"/>
      <c r="C12" s="104"/>
      <c r="D12" s="104"/>
      <c r="E12" s="103"/>
      <c r="F12" s="19">
        <f t="shared" si="0"/>
        <v>0</v>
      </c>
      <c r="G12" s="103"/>
      <c r="H12" s="103"/>
      <c r="J12" s="117"/>
    </row>
    <row r="13" spans="2:11" ht="15.75">
      <c r="B13" s="118"/>
      <c r="C13" s="104"/>
      <c r="D13" s="104"/>
      <c r="E13" s="103"/>
      <c r="F13" s="19"/>
      <c r="G13" s="103"/>
      <c r="H13" s="102"/>
      <c r="K13" s="117"/>
    </row>
    <row r="14" spans="2:11">
      <c r="B14" s="33" t="s">
        <v>27</v>
      </c>
      <c r="C14" s="34"/>
      <c r="D14" s="35"/>
      <c r="E14" s="36"/>
      <c r="F14" s="37">
        <f>SUM(F5:F13)</f>
        <v>25200000</v>
      </c>
      <c r="G14" s="37">
        <f>SUM(G5:G13)</f>
        <v>20000000</v>
      </c>
      <c r="H14" s="37">
        <f>SUM(H5:H13)</f>
        <v>0</v>
      </c>
    </row>
    <row r="15" spans="2:11">
      <c r="B15" s="20"/>
      <c r="C15" s="21"/>
      <c r="D15" s="21"/>
      <c r="E15" s="22"/>
      <c r="F15" s="19"/>
      <c r="G15" s="19"/>
      <c r="H15" s="19"/>
    </row>
    <row r="16" spans="2:11">
      <c r="B16" s="31" t="s">
        <v>53</v>
      </c>
      <c r="C16" s="29"/>
      <c r="D16" s="29"/>
      <c r="E16" s="30"/>
      <c r="F16" s="30"/>
      <c r="G16" s="32"/>
      <c r="H16" s="32"/>
    </row>
    <row r="17" spans="2:11">
      <c r="B17" s="9"/>
      <c r="C17" s="9"/>
      <c r="D17" s="3"/>
      <c r="E17" s="8"/>
      <c r="F17" s="19">
        <f>E17*D17</f>
        <v>0</v>
      </c>
      <c r="G17" s="19"/>
      <c r="H17" s="19">
        <f>F17</f>
        <v>0</v>
      </c>
      <c r="I17" s="117"/>
    </row>
    <row r="18" spans="2:11">
      <c r="B18" s="33" t="s">
        <v>27</v>
      </c>
      <c r="C18" s="33"/>
      <c r="D18" s="39"/>
      <c r="E18" s="40"/>
      <c r="F18" s="38">
        <f>SUM(F17)</f>
        <v>0</v>
      </c>
      <c r="G18" s="38">
        <f>SUM(G17)</f>
        <v>0</v>
      </c>
      <c r="H18" s="38">
        <f t="shared" ref="H18" si="1">SUM(H17)</f>
        <v>0</v>
      </c>
    </row>
    <row r="19" spans="2:11">
      <c r="B19" s="20"/>
      <c r="C19" s="21"/>
      <c r="D19" s="21"/>
      <c r="E19" s="22"/>
      <c r="F19" s="19"/>
      <c r="G19" s="19"/>
      <c r="H19" s="19"/>
    </row>
    <row r="20" spans="2:11">
      <c r="B20" s="31" t="s">
        <v>54</v>
      </c>
      <c r="C20" s="29"/>
      <c r="D20" s="29"/>
      <c r="E20" s="30"/>
      <c r="F20" s="30"/>
      <c r="G20" s="32"/>
      <c r="H20" s="32"/>
    </row>
    <row r="21" spans="2:11">
      <c r="B21" s="23" t="s">
        <v>86</v>
      </c>
      <c r="C21" s="18" t="s">
        <v>87</v>
      </c>
      <c r="D21" s="21">
        <v>1</v>
      </c>
      <c r="E21" s="22">
        <f>'CAPITAL TRABAJO'!C16*-1</f>
        <v>0</v>
      </c>
      <c r="F21" s="19">
        <f>E21*D21</f>
        <v>0</v>
      </c>
      <c r="G21" s="19"/>
      <c r="H21" s="19">
        <f>F21</f>
        <v>0</v>
      </c>
      <c r="K21" s="117"/>
    </row>
    <row r="22" spans="2:11">
      <c r="B22" s="23" t="s">
        <v>200</v>
      </c>
      <c r="C22" s="18" t="s">
        <v>87</v>
      </c>
      <c r="D22" s="21">
        <v>1</v>
      </c>
      <c r="E22" s="22">
        <f>+CULTIVO!E45</f>
        <v>7714900</v>
      </c>
      <c r="F22" s="19">
        <f>E22*D22</f>
        <v>7714900</v>
      </c>
      <c r="G22" s="19"/>
      <c r="H22" s="19">
        <f>F22</f>
        <v>7714900</v>
      </c>
    </row>
    <row r="23" spans="2:11">
      <c r="B23" s="41" t="s">
        <v>27</v>
      </c>
      <c r="C23" s="34"/>
      <c r="D23" s="42"/>
      <c r="E23" s="43"/>
      <c r="F23" s="38">
        <f>SUM(F21:F22)</f>
        <v>7714900</v>
      </c>
      <c r="G23" s="38">
        <f>SUM(G21:G22)</f>
        <v>0</v>
      </c>
      <c r="H23" s="38">
        <f>SUM(H21:H22)</f>
        <v>7714900</v>
      </c>
    </row>
    <row r="24" spans="2:11">
      <c r="B24" s="20"/>
      <c r="C24" s="21"/>
      <c r="D24" s="21"/>
      <c r="E24" s="22"/>
      <c r="F24" s="19"/>
      <c r="G24" s="19"/>
      <c r="H24" s="19"/>
    </row>
    <row r="25" spans="2:11">
      <c r="B25" s="29" t="s">
        <v>51</v>
      </c>
      <c r="C25" s="29"/>
      <c r="D25" s="29"/>
      <c r="E25" s="30"/>
      <c r="F25" s="30">
        <f>SUM(F14+F18+F23)</f>
        <v>32914900</v>
      </c>
      <c r="G25" s="30">
        <f>SUM(G14+G18+G23)</f>
        <v>20000000</v>
      </c>
      <c r="H25" s="30">
        <f>SUM(H14+H18+H23)</f>
        <v>7714900</v>
      </c>
    </row>
  </sheetData>
  <mergeCells count="3">
    <mergeCell ref="B1:H1"/>
    <mergeCell ref="B2:H2"/>
    <mergeCell ref="I3:K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showGridLines="0" topLeftCell="A40" workbookViewId="0">
      <selection activeCell="D24" sqref="D24"/>
    </sheetView>
  </sheetViews>
  <sheetFormatPr baseColWidth="10" defaultColWidth="9.140625" defaultRowHeight="14.25"/>
  <cols>
    <col min="1" max="1" width="9.140625" style="251"/>
    <col min="2" max="2" width="34.140625" style="256" customWidth="1"/>
    <col min="3" max="3" width="17.5703125" style="254" customWidth="1"/>
    <col min="4" max="4" width="31.5703125" style="255" bestFit="1" customWidth="1"/>
    <col min="5" max="5" width="18" style="254" bestFit="1" customWidth="1"/>
    <col min="6" max="6" width="15.42578125" style="254" hidden="1" customWidth="1"/>
    <col min="7" max="7" width="19.7109375" style="254" hidden="1" customWidth="1"/>
    <col min="8" max="8" width="16.42578125" style="256" bestFit="1" customWidth="1"/>
    <col min="9" max="9" width="9.140625" style="257"/>
    <col min="10" max="257" width="9.140625" style="252"/>
    <col min="258" max="258" width="32.28515625" style="252" customWidth="1"/>
    <col min="259" max="259" width="17.5703125" style="252" customWidth="1"/>
    <col min="260" max="260" width="31.5703125" style="252" bestFit="1" customWidth="1"/>
    <col min="261" max="261" width="18" style="252" bestFit="1" customWidth="1"/>
    <col min="262" max="262" width="15.42578125" style="252" bestFit="1" customWidth="1"/>
    <col min="263" max="263" width="19.7109375" style="252" bestFit="1" customWidth="1"/>
    <col min="264" max="264" width="16.42578125" style="252" bestFit="1" customWidth="1"/>
    <col min="265" max="513" width="9.140625" style="252"/>
    <col min="514" max="514" width="32.28515625" style="252" customWidth="1"/>
    <col min="515" max="515" width="17.5703125" style="252" customWidth="1"/>
    <col min="516" max="516" width="31.5703125" style="252" bestFit="1" customWidth="1"/>
    <col min="517" max="517" width="18" style="252" bestFit="1" customWidth="1"/>
    <col min="518" max="518" width="15.42578125" style="252" bestFit="1" customWidth="1"/>
    <col min="519" max="519" width="19.7109375" style="252" bestFit="1" customWidth="1"/>
    <col min="520" max="520" width="16.42578125" style="252" bestFit="1" customWidth="1"/>
    <col min="521" max="769" width="9.140625" style="252"/>
    <col min="770" max="770" width="32.28515625" style="252" customWidth="1"/>
    <col min="771" max="771" width="17.5703125" style="252" customWidth="1"/>
    <col min="772" max="772" width="31.5703125" style="252" bestFit="1" customWidth="1"/>
    <col min="773" max="773" width="18" style="252" bestFit="1" customWidth="1"/>
    <col min="774" max="774" width="15.42578125" style="252" bestFit="1" customWidth="1"/>
    <col min="775" max="775" width="19.7109375" style="252" bestFit="1" customWidth="1"/>
    <col min="776" max="776" width="16.42578125" style="252" bestFit="1" customWidth="1"/>
    <col min="777" max="1025" width="9.140625" style="252"/>
    <col min="1026" max="1026" width="32.28515625" style="252" customWidth="1"/>
    <col min="1027" max="1027" width="17.5703125" style="252" customWidth="1"/>
    <col min="1028" max="1028" width="31.5703125" style="252" bestFit="1" customWidth="1"/>
    <col min="1029" max="1029" width="18" style="252" bestFit="1" customWidth="1"/>
    <col min="1030" max="1030" width="15.42578125" style="252" bestFit="1" customWidth="1"/>
    <col min="1031" max="1031" width="19.7109375" style="252" bestFit="1" customWidth="1"/>
    <col min="1032" max="1032" width="16.42578125" style="252" bestFit="1" customWidth="1"/>
    <col min="1033" max="1281" width="9.140625" style="252"/>
    <col min="1282" max="1282" width="32.28515625" style="252" customWidth="1"/>
    <col min="1283" max="1283" width="17.5703125" style="252" customWidth="1"/>
    <col min="1284" max="1284" width="31.5703125" style="252" bestFit="1" customWidth="1"/>
    <col min="1285" max="1285" width="18" style="252" bestFit="1" customWidth="1"/>
    <col min="1286" max="1286" width="15.42578125" style="252" bestFit="1" customWidth="1"/>
    <col min="1287" max="1287" width="19.7109375" style="252" bestFit="1" customWidth="1"/>
    <col min="1288" max="1288" width="16.42578125" style="252" bestFit="1" customWidth="1"/>
    <col min="1289" max="1537" width="9.140625" style="252"/>
    <col min="1538" max="1538" width="32.28515625" style="252" customWidth="1"/>
    <col min="1539" max="1539" width="17.5703125" style="252" customWidth="1"/>
    <col min="1540" max="1540" width="31.5703125" style="252" bestFit="1" customWidth="1"/>
    <col min="1541" max="1541" width="18" style="252" bestFit="1" customWidth="1"/>
    <col min="1542" max="1542" width="15.42578125" style="252" bestFit="1" customWidth="1"/>
    <col min="1543" max="1543" width="19.7109375" style="252" bestFit="1" customWidth="1"/>
    <col min="1544" max="1544" width="16.42578125" style="252" bestFit="1" customWidth="1"/>
    <col min="1545" max="1793" width="9.140625" style="252"/>
    <col min="1794" max="1794" width="32.28515625" style="252" customWidth="1"/>
    <col min="1795" max="1795" width="17.5703125" style="252" customWidth="1"/>
    <col min="1796" max="1796" width="31.5703125" style="252" bestFit="1" customWidth="1"/>
    <col min="1797" max="1797" width="18" style="252" bestFit="1" customWidth="1"/>
    <col min="1798" max="1798" width="15.42578125" style="252" bestFit="1" customWidth="1"/>
    <col min="1799" max="1799" width="19.7109375" style="252" bestFit="1" customWidth="1"/>
    <col min="1800" max="1800" width="16.42578125" style="252" bestFit="1" customWidth="1"/>
    <col min="1801" max="2049" width="9.140625" style="252"/>
    <col min="2050" max="2050" width="32.28515625" style="252" customWidth="1"/>
    <col min="2051" max="2051" width="17.5703125" style="252" customWidth="1"/>
    <col min="2052" max="2052" width="31.5703125" style="252" bestFit="1" customWidth="1"/>
    <col min="2053" max="2053" width="18" style="252" bestFit="1" customWidth="1"/>
    <col min="2054" max="2054" width="15.42578125" style="252" bestFit="1" customWidth="1"/>
    <col min="2055" max="2055" width="19.7109375" style="252" bestFit="1" customWidth="1"/>
    <col min="2056" max="2056" width="16.42578125" style="252" bestFit="1" customWidth="1"/>
    <col min="2057" max="2305" width="9.140625" style="252"/>
    <col min="2306" max="2306" width="32.28515625" style="252" customWidth="1"/>
    <col min="2307" max="2307" width="17.5703125" style="252" customWidth="1"/>
    <col min="2308" max="2308" width="31.5703125" style="252" bestFit="1" customWidth="1"/>
    <col min="2309" max="2309" width="18" style="252" bestFit="1" customWidth="1"/>
    <col min="2310" max="2310" width="15.42578125" style="252" bestFit="1" customWidth="1"/>
    <col min="2311" max="2311" width="19.7109375" style="252" bestFit="1" customWidth="1"/>
    <col min="2312" max="2312" width="16.42578125" style="252" bestFit="1" customWidth="1"/>
    <col min="2313" max="2561" width="9.140625" style="252"/>
    <col min="2562" max="2562" width="32.28515625" style="252" customWidth="1"/>
    <col min="2563" max="2563" width="17.5703125" style="252" customWidth="1"/>
    <col min="2564" max="2564" width="31.5703125" style="252" bestFit="1" customWidth="1"/>
    <col min="2565" max="2565" width="18" style="252" bestFit="1" customWidth="1"/>
    <col min="2566" max="2566" width="15.42578125" style="252" bestFit="1" customWidth="1"/>
    <col min="2567" max="2567" width="19.7109375" style="252" bestFit="1" customWidth="1"/>
    <col min="2568" max="2568" width="16.42578125" style="252" bestFit="1" customWidth="1"/>
    <col min="2569" max="2817" width="9.140625" style="252"/>
    <col min="2818" max="2818" width="32.28515625" style="252" customWidth="1"/>
    <col min="2819" max="2819" width="17.5703125" style="252" customWidth="1"/>
    <col min="2820" max="2820" width="31.5703125" style="252" bestFit="1" customWidth="1"/>
    <col min="2821" max="2821" width="18" style="252" bestFit="1" customWidth="1"/>
    <col min="2822" max="2822" width="15.42578125" style="252" bestFit="1" customWidth="1"/>
    <col min="2823" max="2823" width="19.7109375" style="252" bestFit="1" customWidth="1"/>
    <col min="2824" max="2824" width="16.42578125" style="252" bestFit="1" customWidth="1"/>
    <col min="2825" max="3073" width="9.140625" style="252"/>
    <col min="3074" max="3074" width="32.28515625" style="252" customWidth="1"/>
    <col min="3075" max="3075" width="17.5703125" style="252" customWidth="1"/>
    <col min="3076" max="3076" width="31.5703125" style="252" bestFit="1" customWidth="1"/>
    <col min="3077" max="3077" width="18" style="252" bestFit="1" customWidth="1"/>
    <col min="3078" max="3078" width="15.42578125" style="252" bestFit="1" customWidth="1"/>
    <col min="3079" max="3079" width="19.7109375" style="252" bestFit="1" customWidth="1"/>
    <col min="3080" max="3080" width="16.42578125" style="252" bestFit="1" customWidth="1"/>
    <col min="3081" max="3329" width="9.140625" style="252"/>
    <col min="3330" max="3330" width="32.28515625" style="252" customWidth="1"/>
    <col min="3331" max="3331" width="17.5703125" style="252" customWidth="1"/>
    <col min="3332" max="3332" width="31.5703125" style="252" bestFit="1" customWidth="1"/>
    <col min="3333" max="3333" width="18" style="252" bestFit="1" customWidth="1"/>
    <col min="3334" max="3334" width="15.42578125" style="252" bestFit="1" customWidth="1"/>
    <col min="3335" max="3335" width="19.7109375" style="252" bestFit="1" customWidth="1"/>
    <col min="3336" max="3336" width="16.42578125" style="252" bestFit="1" customWidth="1"/>
    <col min="3337" max="3585" width="9.140625" style="252"/>
    <col min="3586" max="3586" width="32.28515625" style="252" customWidth="1"/>
    <col min="3587" max="3587" width="17.5703125" style="252" customWidth="1"/>
    <col min="3588" max="3588" width="31.5703125" style="252" bestFit="1" customWidth="1"/>
    <col min="3589" max="3589" width="18" style="252" bestFit="1" customWidth="1"/>
    <col min="3590" max="3590" width="15.42578125" style="252" bestFit="1" customWidth="1"/>
    <col min="3591" max="3591" width="19.7109375" style="252" bestFit="1" customWidth="1"/>
    <col min="3592" max="3592" width="16.42578125" style="252" bestFit="1" customWidth="1"/>
    <col min="3593" max="3841" width="9.140625" style="252"/>
    <col min="3842" max="3842" width="32.28515625" style="252" customWidth="1"/>
    <col min="3843" max="3843" width="17.5703125" style="252" customWidth="1"/>
    <col min="3844" max="3844" width="31.5703125" style="252" bestFit="1" customWidth="1"/>
    <col min="3845" max="3845" width="18" style="252" bestFit="1" customWidth="1"/>
    <col min="3846" max="3846" width="15.42578125" style="252" bestFit="1" customWidth="1"/>
    <col min="3847" max="3847" width="19.7109375" style="252" bestFit="1" customWidth="1"/>
    <col min="3848" max="3848" width="16.42578125" style="252" bestFit="1" customWidth="1"/>
    <col min="3849" max="4097" width="9.140625" style="252"/>
    <col min="4098" max="4098" width="32.28515625" style="252" customWidth="1"/>
    <col min="4099" max="4099" width="17.5703125" style="252" customWidth="1"/>
    <col min="4100" max="4100" width="31.5703125" style="252" bestFit="1" customWidth="1"/>
    <col min="4101" max="4101" width="18" style="252" bestFit="1" customWidth="1"/>
    <col min="4102" max="4102" width="15.42578125" style="252" bestFit="1" customWidth="1"/>
    <col min="4103" max="4103" width="19.7109375" style="252" bestFit="1" customWidth="1"/>
    <col min="4104" max="4104" width="16.42578125" style="252" bestFit="1" customWidth="1"/>
    <col min="4105" max="4353" width="9.140625" style="252"/>
    <col min="4354" max="4354" width="32.28515625" style="252" customWidth="1"/>
    <col min="4355" max="4355" width="17.5703125" style="252" customWidth="1"/>
    <col min="4356" max="4356" width="31.5703125" style="252" bestFit="1" customWidth="1"/>
    <col min="4357" max="4357" width="18" style="252" bestFit="1" customWidth="1"/>
    <col min="4358" max="4358" width="15.42578125" style="252" bestFit="1" customWidth="1"/>
    <col min="4359" max="4359" width="19.7109375" style="252" bestFit="1" customWidth="1"/>
    <col min="4360" max="4360" width="16.42578125" style="252" bestFit="1" customWidth="1"/>
    <col min="4361" max="4609" width="9.140625" style="252"/>
    <col min="4610" max="4610" width="32.28515625" style="252" customWidth="1"/>
    <col min="4611" max="4611" width="17.5703125" style="252" customWidth="1"/>
    <col min="4612" max="4612" width="31.5703125" style="252" bestFit="1" customWidth="1"/>
    <col min="4613" max="4613" width="18" style="252" bestFit="1" customWidth="1"/>
    <col min="4614" max="4614" width="15.42578125" style="252" bestFit="1" customWidth="1"/>
    <col min="4615" max="4615" width="19.7109375" style="252" bestFit="1" customWidth="1"/>
    <col min="4616" max="4616" width="16.42578125" style="252" bestFit="1" customWidth="1"/>
    <col min="4617" max="4865" width="9.140625" style="252"/>
    <col min="4866" max="4866" width="32.28515625" style="252" customWidth="1"/>
    <col min="4867" max="4867" width="17.5703125" style="252" customWidth="1"/>
    <col min="4868" max="4868" width="31.5703125" style="252" bestFit="1" customWidth="1"/>
    <col min="4869" max="4869" width="18" style="252" bestFit="1" customWidth="1"/>
    <col min="4870" max="4870" width="15.42578125" style="252" bestFit="1" customWidth="1"/>
    <col min="4871" max="4871" width="19.7109375" style="252" bestFit="1" customWidth="1"/>
    <col min="4872" max="4872" width="16.42578125" style="252" bestFit="1" customWidth="1"/>
    <col min="4873" max="5121" width="9.140625" style="252"/>
    <col min="5122" max="5122" width="32.28515625" style="252" customWidth="1"/>
    <col min="5123" max="5123" width="17.5703125" style="252" customWidth="1"/>
    <col min="5124" max="5124" width="31.5703125" style="252" bestFit="1" customWidth="1"/>
    <col min="5125" max="5125" width="18" style="252" bestFit="1" customWidth="1"/>
    <col min="5126" max="5126" width="15.42578125" style="252" bestFit="1" customWidth="1"/>
    <col min="5127" max="5127" width="19.7109375" style="252" bestFit="1" customWidth="1"/>
    <col min="5128" max="5128" width="16.42578125" style="252" bestFit="1" customWidth="1"/>
    <col min="5129" max="5377" width="9.140625" style="252"/>
    <col min="5378" max="5378" width="32.28515625" style="252" customWidth="1"/>
    <col min="5379" max="5379" width="17.5703125" style="252" customWidth="1"/>
    <col min="5380" max="5380" width="31.5703125" style="252" bestFit="1" customWidth="1"/>
    <col min="5381" max="5381" width="18" style="252" bestFit="1" customWidth="1"/>
    <col min="5382" max="5382" width="15.42578125" style="252" bestFit="1" customWidth="1"/>
    <col min="5383" max="5383" width="19.7109375" style="252" bestFit="1" customWidth="1"/>
    <col min="5384" max="5384" width="16.42578125" style="252" bestFit="1" customWidth="1"/>
    <col min="5385" max="5633" width="9.140625" style="252"/>
    <col min="5634" max="5634" width="32.28515625" style="252" customWidth="1"/>
    <col min="5635" max="5635" width="17.5703125" style="252" customWidth="1"/>
    <col min="5636" max="5636" width="31.5703125" style="252" bestFit="1" customWidth="1"/>
    <col min="5637" max="5637" width="18" style="252" bestFit="1" customWidth="1"/>
    <col min="5638" max="5638" width="15.42578125" style="252" bestFit="1" customWidth="1"/>
    <col min="5639" max="5639" width="19.7109375" style="252" bestFit="1" customWidth="1"/>
    <col min="5640" max="5640" width="16.42578125" style="252" bestFit="1" customWidth="1"/>
    <col min="5641" max="5889" width="9.140625" style="252"/>
    <col min="5890" max="5890" width="32.28515625" style="252" customWidth="1"/>
    <col min="5891" max="5891" width="17.5703125" style="252" customWidth="1"/>
    <col min="5892" max="5892" width="31.5703125" style="252" bestFit="1" customWidth="1"/>
    <col min="5893" max="5893" width="18" style="252" bestFit="1" customWidth="1"/>
    <col min="5894" max="5894" width="15.42578125" style="252" bestFit="1" customWidth="1"/>
    <col min="5895" max="5895" width="19.7109375" style="252" bestFit="1" customWidth="1"/>
    <col min="5896" max="5896" width="16.42578125" style="252" bestFit="1" customWidth="1"/>
    <col min="5897" max="6145" width="9.140625" style="252"/>
    <col min="6146" max="6146" width="32.28515625" style="252" customWidth="1"/>
    <col min="6147" max="6147" width="17.5703125" style="252" customWidth="1"/>
    <col min="6148" max="6148" width="31.5703125" style="252" bestFit="1" customWidth="1"/>
    <col min="6149" max="6149" width="18" style="252" bestFit="1" customWidth="1"/>
    <col min="6150" max="6150" width="15.42578125" style="252" bestFit="1" customWidth="1"/>
    <col min="6151" max="6151" width="19.7109375" style="252" bestFit="1" customWidth="1"/>
    <col min="6152" max="6152" width="16.42578125" style="252" bestFit="1" customWidth="1"/>
    <col min="6153" max="6401" width="9.140625" style="252"/>
    <col min="6402" max="6402" width="32.28515625" style="252" customWidth="1"/>
    <col min="6403" max="6403" width="17.5703125" style="252" customWidth="1"/>
    <col min="6404" max="6404" width="31.5703125" style="252" bestFit="1" customWidth="1"/>
    <col min="6405" max="6405" width="18" style="252" bestFit="1" customWidth="1"/>
    <col min="6406" max="6406" width="15.42578125" style="252" bestFit="1" customWidth="1"/>
    <col min="6407" max="6407" width="19.7109375" style="252" bestFit="1" customWidth="1"/>
    <col min="6408" max="6408" width="16.42578125" style="252" bestFit="1" customWidth="1"/>
    <col min="6409" max="6657" width="9.140625" style="252"/>
    <col min="6658" max="6658" width="32.28515625" style="252" customWidth="1"/>
    <col min="6659" max="6659" width="17.5703125" style="252" customWidth="1"/>
    <col min="6660" max="6660" width="31.5703125" style="252" bestFit="1" customWidth="1"/>
    <col min="6661" max="6661" width="18" style="252" bestFit="1" customWidth="1"/>
    <col min="6662" max="6662" width="15.42578125" style="252" bestFit="1" customWidth="1"/>
    <col min="6663" max="6663" width="19.7109375" style="252" bestFit="1" customWidth="1"/>
    <col min="6664" max="6664" width="16.42578125" style="252" bestFit="1" customWidth="1"/>
    <col min="6665" max="6913" width="9.140625" style="252"/>
    <col min="6914" max="6914" width="32.28515625" style="252" customWidth="1"/>
    <col min="6915" max="6915" width="17.5703125" style="252" customWidth="1"/>
    <col min="6916" max="6916" width="31.5703125" style="252" bestFit="1" customWidth="1"/>
    <col min="6917" max="6917" width="18" style="252" bestFit="1" customWidth="1"/>
    <col min="6918" max="6918" width="15.42578125" style="252" bestFit="1" customWidth="1"/>
    <col min="6919" max="6919" width="19.7109375" style="252" bestFit="1" customWidth="1"/>
    <col min="6920" max="6920" width="16.42578125" style="252" bestFit="1" customWidth="1"/>
    <col min="6921" max="7169" width="9.140625" style="252"/>
    <col min="7170" max="7170" width="32.28515625" style="252" customWidth="1"/>
    <col min="7171" max="7171" width="17.5703125" style="252" customWidth="1"/>
    <col min="7172" max="7172" width="31.5703125" style="252" bestFit="1" customWidth="1"/>
    <col min="7173" max="7173" width="18" style="252" bestFit="1" customWidth="1"/>
    <col min="7174" max="7174" width="15.42578125" style="252" bestFit="1" customWidth="1"/>
    <col min="7175" max="7175" width="19.7109375" style="252" bestFit="1" customWidth="1"/>
    <col min="7176" max="7176" width="16.42578125" style="252" bestFit="1" customWidth="1"/>
    <col min="7177" max="7425" width="9.140625" style="252"/>
    <col min="7426" max="7426" width="32.28515625" style="252" customWidth="1"/>
    <col min="7427" max="7427" width="17.5703125" style="252" customWidth="1"/>
    <col min="7428" max="7428" width="31.5703125" style="252" bestFit="1" customWidth="1"/>
    <col min="7429" max="7429" width="18" style="252" bestFit="1" customWidth="1"/>
    <col min="7430" max="7430" width="15.42578125" style="252" bestFit="1" customWidth="1"/>
    <col min="7431" max="7431" width="19.7109375" style="252" bestFit="1" customWidth="1"/>
    <col min="7432" max="7432" width="16.42578125" style="252" bestFit="1" customWidth="1"/>
    <col min="7433" max="7681" width="9.140625" style="252"/>
    <col min="7682" max="7682" width="32.28515625" style="252" customWidth="1"/>
    <col min="7683" max="7683" width="17.5703125" style="252" customWidth="1"/>
    <col min="7684" max="7684" width="31.5703125" style="252" bestFit="1" customWidth="1"/>
    <col min="7685" max="7685" width="18" style="252" bestFit="1" customWidth="1"/>
    <col min="7686" max="7686" width="15.42578125" style="252" bestFit="1" customWidth="1"/>
    <col min="7687" max="7687" width="19.7109375" style="252" bestFit="1" customWidth="1"/>
    <col min="7688" max="7688" width="16.42578125" style="252" bestFit="1" customWidth="1"/>
    <col min="7689" max="7937" width="9.140625" style="252"/>
    <col min="7938" max="7938" width="32.28515625" style="252" customWidth="1"/>
    <col min="7939" max="7939" width="17.5703125" style="252" customWidth="1"/>
    <col min="7940" max="7940" width="31.5703125" style="252" bestFit="1" customWidth="1"/>
    <col min="7941" max="7941" width="18" style="252" bestFit="1" customWidth="1"/>
    <col min="7942" max="7942" width="15.42578125" style="252" bestFit="1" customWidth="1"/>
    <col min="7943" max="7943" width="19.7109375" style="252" bestFit="1" customWidth="1"/>
    <col min="7944" max="7944" width="16.42578125" style="252" bestFit="1" customWidth="1"/>
    <col min="7945" max="8193" width="9.140625" style="252"/>
    <col min="8194" max="8194" width="32.28515625" style="252" customWidth="1"/>
    <col min="8195" max="8195" width="17.5703125" style="252" customWidth="1"/>
    <col min="8196" max="8196" width="31.5703125" style="252" bestFit="1" customWidth="1"/>
    <col min="8197" max="8197" width="18" style="252" bestFit="1" customWidth="1"/>
    <col min="8198" max="8198" width="15.42578125" style="252" bestFit="1" customWidth="1"/>
    <col min="8199" max="8199" width="19.7109375" style="252" bestFit="1" customWidth="1"/>
    <col min="8200" max="8200" width="16.42578125" style="252" bestFit="1" customWidth="1"/>
    <col min="8201" max="8449" width="9.140625" style="252"/>
    <col min="8450" max="8450" width="32.28515625" style="252" customWidth="1"/>
    <col min="8451" max="8451" width="17.5703125" style="252" customWidth="1"/>
    <col min="8452" max="8452" width="31.5703125" style="252" bestFit="1" customWidth="1"/>
    <col min="8453" max="8453" width="18" style="252" bestFit="1" customWidth="1"/>
    <col min="8454" max="8454" width="15.42578125" style="252" bestFit="1" customWidth="1"/>
    <col min="8455" max="8455" width="19.7109375" style="252" bestFit="1" customWidth="1"/>
    <col min="8456" max="8456" width="16.42578125" style="252" bestFit="1" customWidth="1"/>
    <col min="8457" max="8705" width="9.140625" style="252"/>
    <col min="8706" max="8706" width="32.28515625" style="252" customWidth="1"/>
    <col min="8707" max="8707" width="17.5703125" style="252" customWidth="1"/>
    <col min="8708" max="8708" width="31.5703125" style="252" bestFit="1" customWidth="1"/>
    <col min="8709" max="8709" width="18" style="252" bestFit="1" customWidth="1"/>
    <col min="8710" max="8710" width="15.42578125" style="252" bestFit="1" customWidth="1"/>
    <col min="8711" max="8711" width="19.7109375" style="252" bestFit="1" customWidth="1"/>
    <col min="8712" max="8712" width="16.42578125" style="252" bestFit="1" customWidth="1"/>
    <col min="8713" max="8961" width="9.140625" style="252"/>
    <col min="8962" max="8962" width="32.28515625" style="252" customWidth="1"/>
    <col min="8963" max="8963" width="17.5703125" style="252" customWidth="1"/>
    <col min="8964" max="8964" width="31.5703125" style="252" bestFit="1" customWidth="1"/>
    <col min="8965" max="8965" width="18" style="252" bestFit="1" customWidth="1"/>
    <col min="8966" max="8966" width="15.42578125" style="252" bestFit="1" customWidth="1"/>
    <col min="8967" max="8967" width="19.7109375" style="252" bestFit="1" customWidth="1"/>
    <col min="8968" max="8968" width="16.42578125" style="252" bestFit="1" customWidth="1"/>
    <col min="8969" max="9217" width="9.140625" style="252"/>
    <col min="9218" max="9218" width="32.28515625" style="252" customWidth="1"/>
    <col min="9219" max="9219" width="17.5703125" style="252" customWidth="1"/>
    <col min="9220" max="9220" width="31.5703125" style="252" bestFit="1" customWidth="1"/>
    <col min="9221" max="9221" width="18" style="252" bestFit="1" customWidth="1"/>
    <col min="9222" max="9222" width="15.42578125" style="252" bestFit="1" customWidth="1"/>
    <col min="9223" max="9223" width="19.7109375" style="252" bestFit="1" customWidth="1"/>
    <col min="9224" max="9224" width="16.42578125" style="252" bestFit="1" customWidth="1"/>
    <col min="9225" max="9473" width="9.140625" style="252"/>
    <col min="9474" max="9474" width="32.28515625" style="252" customWidth="1"/>
    <col min="9475" max="9475" width="17.5703125" style="252" customWidth="1"/>
    <col min="9476" max="9476" width="31.5703125" style="252" bestFit="1" customWidth="1"/>
    <col min="9477" max="9477" width="18" style="252" bestFit="1" customWidth="1"/>
    <col min="9478" max="9478" width="15.42578125" style="252" bestFit="1" customWidth="1"/>
    <col min="9479" max="9479" width="19.7109375" style="252" bestFit="1" customWidth="1"/>
    <col min="9480" max="9480" width="16.42578125" style="252" bestFit="1" customWidth="1"/>
    <col min="9481" max="9729" width="9.140625" style="252"/>
    <col min="9730" max="9730" width="32.28515625" style="252" customWidth="1"/>
    <col min="9731" max="9731" width="17.5703125" style="252" customWidth="1"/>
    <col min="9732" max="9732" width="31.5703125" style="252" bestFit="1" customWidth="1"/>
    <col min="9733" max="9733" width="18" style="252" bestFit="1" customWidth="1"/>
    <col min="9734" max="9734" width="15.42578125" style="252" bestFit="1" customWidth="1"/>
    <col min="9735" max="9735" width="19.7109375" style="252" bestFit="1" customWidth="1"/>
    <col min="9736" max="9736" width="16.42578125" style="252" bestFit="1" customWidth="1"/>
    <col min="9737" max="9985" width="9.140625" style="252"/>
    <col min="9986" max="9986" width="32.28515625" style="252" customWidth="1"/>
    <col min="9987" max="9987" width="17.5703125" style="252" customWidth="1"/>
    <col min="9988" max="9988" width="31.5703125" style="252" bestFit="1" customWidth="1"/>
    <col min="9989" max="9989" width="18" style="252" bestFit="1" customWidth="1"/>
    <col min="9990" max="9990" width="15.42578125" style="252" bestFit="1" customWidth="1"/>
    <col min="9991" max="9991" width="19.7109375" style="252" bestFit="1" customWidth="1"/>
    <col min="9992" max="9992" width="16.42578125" style="252" bestFit="1" customWidth="1"/>
    <col min="9993" max="10241" width="9.140625" style="252"/>
    <col min="10242" max="10242" width="32.28515625" style="252" customWidth="1"/>
    <col min="10243" max="10243" width="17.5703125" style="252" customWidth="1"/>
    <col min="10244" max="10244" width="31.5703125" style="252" bestFit="1" customWidth="1"/>
    <col min="10245" max="10245" width="18" style="252" bestFit="1" customWidth="1"/>
    <col min="10246" max="10246" width="15.42578125" style="252" bestFit="1" customWidth="1"/>
    <col min="10247" max="10247" width="19.7109375" style="252" bestFit="1" customWidth="1"/>
    <col min="10248" max="10248" width="16.42578125" style="252" bestFit="1" customWidth="1"/>
    <col min="10249" max="10497" width="9.140625" style="252"/>
    <col min="10498" max="10498" width="32.28515625" style="252" customWidth="1"/>
    <col min="10499" max="10499" width="17.5703125" style="252" customWidth="1"/>
    <col min="10500" max="10500" width="31.5703125" style="252" bestFit="1" customWidth="1"/>
    <col min="10501" max="10501" width="18" style="252" bestFit="1" customWidth="1"/>
    <col min="10502" max="10502" width="15.42578125" style="252" bestFit="1" customWidth="1"/>
    <col min="10503" max="10503" width="19.7109375" style="252" bestFit="1" customWidth="1"/>
    <col min="10504" max="10504" width="16.42578125" style="252" bestFit="1" customWidth="1"/>
    <col min="10505" max="10753" width="9.140625" style="252"/>
    <col min="10754" max="10754" width="32.28515625" style="252" customWidth="1"/>
    <col min="10755" max="10755" width="17.5703125" style="252" customWidth="1"/>
    <col min="10756" max="10756" width="31.5703125" style="252" bestFit="1" customWidth="1"/>
    <col min="10757" max="10757" width="18" style="252" bestFit="1" customWidth="1"/>
    <col min="10758" max="10758" width="15.42578125" style="252" bestFit="1" customWidth="1"/>
    <col min="10759" max="10759" width="19.7109375" style="252" bestFit="1" customWidth="1"/>
    <col min="10760" max="10760" width="16.42578125" style="252" bestFit="1" customWidth="1"/>
    <col min="10761" max="11009" width="9.140625" style="252"/>
    <col min="11010" max="11010" width="32.28515625" style="252" customWidth="1"/>
    <col min="11011" max="11011" width="17.5703125" style="252" customWidth="1"/>
    <col min="11012" max="11012" width="31.5703125" style="252" bestFit="1" customWidth="1"/>
    <col min="11013" max="11013" width="18" style="252" bestFit="1" customWidth="1"/>
    <col min="11014" max="11014" width="15.42578125" style="252" bestFit="1" customWidth="1"/>
    <col min="11015" max="11015" width="19.7109375" style="252" bestFit="1" customWidth="1"/>
    <col min="11016" max="11016" width="16.42578125" style="252" bestFit="1" customWidth="1"/>
    <col min="11017" max="11265" width="9.140625" style="252"/>
    <col min="11266" max="11266" width="32.28515625" style="252" customWidth="1"/>
    <col min="11267" max="11267" width="17.5703125" style="252" customWidth="1"/>
    <col min="11268" max="11268" width="31.5703125" style="252" bestFit="1" customWidth="1"/>
    <col min="11269" max="11269" width="18" style="252" bestFit="1" customWidth="1"/>
    <col min="11270" max="11270" width="15.42578125" style="252" bestFit="1" customWidth="1"/>
    <col min="11271" max="11271" width="19.7109375" style="252" bestFit="1" customWidth="1"/>
    <col min="11272" max="11272" width="16.42578125" style="252" bestFit="1" customWidth="1"/>
    <col min="11273" max="11521" width="9.140625" style="252"/>
    <col min="11522" max="11522" width="32.28515625" style="252" customWidth="1"/>
    <col min="11523" max="11523" width="17.5703125" style="252" customWidth="1"/>
    <col min="11524" max="11524" width="31.5703125" style="252" bestFit="1" customWidth="1"/>
    <col min="11525" max="11525" width="18" style="252" bestFit="1" customWidth="1"/>
    <col min="11526" max="11526" width="15.42578125" style="252" bestFit="1" customWidth="1"/>
    <col min="11527" max="11527" width="19.7109375" style="252" bestFit="1" customWidth="1"/>
    <col min="11528" max="11528" width="16.42578125" style="252" bestFit="1" customWidth="1"/>
    <col min="11529" max="11777" width="9.140625" style="252"/>
    <col min="11778" max="11778" width="32.28515625" style="252" customWidth="1"/>
    <col min="11779" max="11779" width="17.5703125" style="252" customWidth="1"/>
    <col min="11780" max="11780" width="31.5703125" style="252" bestFit="1" customWidth="1"/>
    <col min="11781" max="11781" width="18" style="252" bestFit="1" customWidth="1"/>
    <col min="11782" max="11782" width="15.42578125" style="252" bestFit="1" customWidth="1"/>
    <col min="11783" max="11783" width="19.7109375" style="252" bestFit="1" customWidth="1"/>
    <col min="11784" max="11784" width="16.42578125" style="252" bestFit="1" customWidth="1"/>
    <col min="11785" max="12033" width="9.140625" style="252"/>
    <col min="12034" max="12034" width="32.28515625" style="252" customWidth="1"/>
    <col min="12035" max="12035" width="17.5703125" style="252" customWidth="1"/>
    <col min="12036" max="12036" width="31.5703125" style="252" bestFit="1" customWidth="1"/>
    <col min="12037" max="12037" width="18" style="252" bestFit="1" customWidth="1"/>
    <col min="12038" max="12038" width="15.42578125" style="252" bestFit="1" customWidth="1"/>
    <col min="12039" max="12039" width="19.7109375" style="252" bestFit="1" customWidth="1"/>
    <col min="12040" max="12040" width="16.42578125" style="252" bestFit="1" customWidth="1"/>
    <col min="12041" max="12289" width="9.140625" style="252"/>
    <col min="12290" max="12290" width="32.28515625" style="252" customWidth="1"/>
    <col min="12291" max="12291" width="17.5703125" style="252" customWidth="1"/>
    <col min="12292" max="12292" width="31.5703125" style="252" bestFit="1" customWidth="1"/>
    <col min="12293" max="12293" width="18" style="252" bestFit="1" customWidth="1"/>
    <col min="12294" max="12294" width="15.42578125" style="252" bestFit="1" customWidth="1"/>
    <col min="12295" max="12295" width="19.7109375" style="252" bestFit="1" customWidth="1"/>
    <col min="12296" max="12296" width="16.42578125" style="252" bestFit="1" customWidth="1"/>
    <col min="12297" max="12545" width="9.140625" style="252"/>
    <col min="12546" max="12546" width="32.28515625" style="252" customWidth="1"/>
    <col min="12547" max="12547" width="17.5703125" style="252" customWidth="1"/>
    <col min="12548" max="12548" width="31.5703125" style="252" bestFit="1" customWidth="1"/>
    <col min="12549" max="12549" width="18" style="252" bestFit="1" customWidth="1"/>
    <col min="12550" max="12550" width="15.42578125" style="252" bestFit="1" customWidth="1"/>
    <col min="12551" max="12551" width="19.7109375" style="252" bestFit="1" customWidth="1"/>
    <col min="12552" max="12552" width="16.42578125" style="252" bestFit="1" customWidth="1"/>
    <col min="12553" max="12801" width="9.140625" style="252"/>
    <col min="12802" max="12802" width="32.28515625" style="252" customWidth="1"/>
    <col min="12803" max="12803" width="17.5703125" style="252" customWidth="1"/>
    <col min="12804" max="12804" width="31.5703125" style="252" bestFit="1" customWidth="1"/>
    <col min="12805" max="12805" width="18" style="252" bestFit="1" customWidth="1"/>
    <col min="12806" max="12806" width="15.42578125" style="252" bestFit="1" customWidth="1"/>
    <col min="12807" max="12807" width="19.7109375" style="252" bestFit="1" customWidth="1"/>
    <col min="12808" max="12808" width="16.42578125" style="252" bestFit="1" customWidth="1"/>
    <col min="12809" max="13057" width="9.140625" style="252"/>
    <col min="13058" max="13058" width="32.28515625" style="252" customWidth="1"/>
    <col min="13059" max="13059" width="17.5703125" style="252" customWidth="1"/>
    <col min="13060" max="13060" width="31.5703125" style="252" bestFit="1" customWidth="1"/>
    <col min="13061" max="13061" width="18" style="252" bestFit="1" customWidth="1"/>
    <col min="13062" max="13062" width="15.42578125" style="252" bestFit="1" customWidth="1"/>
    <col min="13063" max="13063" width="19.7109375" style="252" bestFit="1" customWidth="1"/>
    <col min="13064" max="13064" width="16.42578125" style="252" bestFit="1" customWidth="1"/>
    <col min="13065" max="13313" width="9.140625" style="252"/>
    <col min="13314" max="13314" width="32.28515625" style="252" customWidth="1"/>
    <col min="13315" max="13315" width="17.5703125" style="252" customWidth="1"/>
    <col min="13316" max="13316" width="31.5703125" style="252" bestFit="1" customWidth="1"/>
    <col min="13317" max="13317" width="18" style="252" bestFit="1" customWidth="1"/>
    <col min="13318" max="13318" width="15.42578125" style="252" bestFit="1" customWidth="1"/>
    <col min="13319" max="13319" width="19.7109375" style="252" bestFit="1" customWidth="1"/>
    <col min="13320" max="13320" width="16.42578125" style="252" bestFit="1" customWidth="1"/>
    <col min="13321" max="13569" width="9.140625" style="252"/>
    <col min="13570" max="13570" width="32.28515625" style="252" customWidth="1"/>
    <col min="13571" max="13571" width="17.5703125" style="252" customWidth="1"/>
    <col min="13572" max="13572" width="31.5703125" style="252" bestFit="1" customWidth="1"/>
    <col min="13573" max="13573" width="18" style="252" bestFit="1" customWidth="1"/>
    <col min="13574" max="13574" width="15.42578125" style="252" bestFit="1" customWidth="1"/>
    <col min="13575" max="13575" width="19.7109375" style="252" bestFit="1" customWidth="1"/>
    <col min="13576" max="13576" width="16.42578125" style="252" bestFit="1" customWidth="1"/>
    <col min="13577" max="13825" width="9.140625" style="252"/>
    <col min="13826" max="13826" width="32.28515625" style="252" customWidth="1"/>
    <col min="13827" max="13827" width="17.5703125" style="252" customWidth="1"/>
    <col min="13828" max="13828" width="31.5703125" style="252" bestFit="1" customWidth="1"/>
    <col min="13829" max="13829" width="18" style="252" bestFit="1" customWidth="1"/>
    <col min="13830" max="13830" width="15.42578125" style="252" bestFit="1" customWidth="1"/>
    <col min="13831" max="13831" width="19.7109375" style="252" bestFit="1" customWidth="1"/>
    <col min="13832" max="13832" width="16.42578125" style="252" bestFit="1" customWidth="1"/>
    <col min="13833" max="14081" width="9.140625" style="252"/>
    <col min="14082" max="14082" width="32.28515625" style="252" customWidth="1"/>
    <col min="14083" max="14083" width="17.5703125" style="252" customWidth="1"/>
    <col min="14084" max="14084" width="31.5703125" style="252" bestFit="1" customWidth="1"/>
    <col min="14085" max="14085" width="18" style="252" bestFit="1" customWidth="1"/>
    <col min="14086" max="14086" width="15.42578125" style="252" bestFit="1" customWidth="1"/>
    <col min="14087" max="14087" width="19.7109375" style="252" bestFit="1" customWidth="1"/>
    <col min="14088" max="14088" width="16.42578125" style="252" bestFit="1" customWidth="1"/>
    <col min="14089" max="14337" width="9.140625" style="252"/>
    <col min="14338" max="14338" width="32.28515625" style="252" customWidth="1"/>
    <col min="14339" max="14339" width="17.5703125" style="252" customWidth="1"/>
    <col min="14340" max="14340" width="31.5703125" style="252" bestFit="1" customWidth="1"/>
    <col min="14341" max="14341" width="18" style="252" bestFit="1" customWidth="1"/>
    <col min="14342" max="14342" width="15.42578125" style="252" bestFit="1" customWidth="1"/>
    <col min="14343" max="14343" width="19.7109375" style="252" bestFit="1" customWidth="1"/>
    <col min="14344" max="14344" width="16.42578125" style="252" bestFit="1" customWidth="1"/>
    <col min="14345" max="14593" width="9.140625" style="252"/>
    <col min="14594" max="14594" width="32.28515625" style="252" customWidth="1"/>
    <col min="14595" max="14595" width="17.5703125" style="252" customWidth="1"/>
    <col min="14596" max="14596" width="31.5703125" style="252" bestFit="1" customWidth="1"/>
    <col min="14597" max="14597" width="18" style="252" bestFit="1" customWidth="1"/>
    <col min="14598" max="14598" width="15.42578125" style="252" bestFit="1" customWidth="1"/>
    <col min="14599" max="14599" width="19.7109375" style="252" bestFit="1" customWidth="1"/>
    <col min="14600" max="14600" width="16.42578125" style="252" bestFit="1" customWidth="1"/>
    <col min="14601" max="14849" width="9.140625" style="252"/>
    <col min="14850" max="14850" width="32.28515625" style="252" customWidth="1"/>
    <col min="14851" max="14851" width="17.5703125" style="252" customWidth="1"/>
    <col min="14852" max="14852" width="31.5703125" style="252" bestFit="1" customWidth="1"/>
    <col min="14853" max="14853" width="18" style="252" bestFit="1" customWidth="1"/>
    <col min="14854" max="14854" width="15.42578125" style="252" bestFit="1" customWidth="1"/>
    <col min="14855" max="14855" width="19.7109375" style="252" bestFit="1" customWidth="1"/>
    <col min="14856" max="14856" width="16.42578125" style="252" bestFit="1" customWidth="1"/>
    <col min="14857" max="15105" width="9.140625" style="252"/>
    <col min="15106" max="15106" width="32.28515625" style="252" customWidth="1"/>
    <col min="15107" max="15107" width="17.5703125" style="252" customWidth="1"/>
    <col min="15108" max="15108" width="31.5703125" style="252" bestFit="1" customWidth="1"/>
    <col min="15109" max="15109" width="18" style="252" bestFit="1" customWidth="1"/>
    <col min="15110" max="15110" width="15.42578125" style="252" bestFit="1" customWidth="1"/>
    <col min="15111" max="15111" width="19.7109375" style="252" bestFit="1" customWidth="1"/>
    <col min="15112" max="15112" width="16.42578125" style="252" bestFit="1" customWidth="1"/>
    <col min="15113" max="15361" width="9.140625" style="252"/>
    <col min="15362" max="15362" width="32.28515625" style="252" customWidth="1"/>
    <col min="15363" max="15363" width="17.5703125" style="252" customWidth="1"/>
    <col min="15364" max="15364" width="31.5703125" style="252" bestFit="1" customWidth="1"/>
    <col min="15365" max="15365" width="18" style="252" bestFit="1" customWidth="1"/>
    <col min="15366" max="15366" width="15.42578125" style="252" bestFit="1" customWidth="1"/>
    <col min="15367" max="15367" width="19.7109375" style="252" bestFit="1" customWidth="1"/>
    <col min="15368" max="15368" width="16.42578125" style="252" bestFit="1" customWidth="1"/>
    <col min="15369" max="15617" width="9.140625" style="252"/>
    <col min="15618" max="15618" width="32.28515625" style="252" customWidth="1"/>
    <col min="15619" max="15619" width="17.5703125" style="252" customWidth="1"/>
    <col min="15620" max="15620" width="31.5703125" style="252" bestFit="1" customWidth="1"/>
    <col min="15621" max="15621" width="18" style="252" bestFit="1" customWidth="1"/>
    <col min="15622" max="15622" width="15.42578125" style="252" bestFit="1" customWidth="1"/>
    <col min="15623" max="15623" width="19.7109375" style="252" bestFit="1" customWidth="1"/>
    <col min="15624" max="15624" width="16.42578125" style="252" bestFit="1" customWidth="1"/>
    <col min="15625" max="15873" width="9.140625" style="252"/>
    <col min="15874" max="15874" width="32.28515625" style="252" customWidth="1"/>
    <col min="15875" max="15875" width="17.5703125" style="252" customWidth="1"/>
    <col min="15876" max="15876" width="31.5703125" style="252" bestFit="1" customWidth="1"/>
    <col min="15877" max="15877" width="18" style="252" bestFit="1" customWidth="1"/>
    <col min="15878" max="15878" width="15.42578125" style="252" bestFit="1" customWidth="1"/>
    <col min="15879" max="15879" width="19.7109375" style="252" bestFit="1" customWidth="1"/>
    <col min="15880" max="15880" width="16.42578125" style="252" bestFit="1" customWidth="1"/>
    <col min="15881" max="16129" width="9.140625" style="252"/>
    <col min="16130" max="16130" width="32.28515625" style="252" customWidth="1"/>
    <col min="16131" max="16131" width="17.5703125" style="252" customWidth="1"/>
    <col min="16132" max="16132" width="31.5703125" style="252" bestFit="1" customWidth="1"/>
    <col min="16133" max="16133" width="18" style="252" bestFit="1" customWidth="1"/>
    <col min="16134" max="16134" width="15.42578125" style="252" bestFit="1" customWidth="1"/>
    <col min="16135" max="16135" width="19.7109375" style="252" bestFit="1" customWidth="1"/>
    <col min="16136" max="16136" width="16.42578125" style="252" bestFit="1" customWidth="1"/>
    <col min="16137" max="16384" width="9.140625" style="252"/>
  </cols>
  <sheetData>
    <row r="1" spans="2:9" ht="15.75" thickBot="1">
      <c r="B1" s="298"/>
      <c r="C1" s="298"/>
      <c r="D1" s="298"/>
      <c r="E1" s="298"/>
      <c r="F1" s="298"/>
      <c r="G1" s="298"/>
      <c r="H1" s="252"/>
      <c r="I1" s="252"/>
    </row>
    <row r="2" spans="2:9" ht="15.75" thickTop="1">
      <c r="B2" s="299" t="s">
        <v>201</v>
      </c>
      <c r="C2" s="299"/>
      <c r="D2" s="299"/>
      <c r="E2" s="299"/>
      <c r="F2" s="299"/>
      <c r="G2" s="299"/>
      <c r="H2" s="252"/>
      <c r="I2" s="252"/>
    </row>
    <row r="3" spans="2:9" ht="45.75" thickBot="1">
      <c r="B3" s="253" t="s">
        <v>202</v>
      </c>
    </row>
    <row r="4" spans="2:9" ht="15" thickTop="1">
      <c r="B4" s="300" t="s">
        <v>76</v>
      </c>
      <c r="C4" s="301" t="s">
        <v>178</v>
      </c>
      <c r="D4" s="302" t="s">
        <v>179</v>
      </c>
      <c r="E4" s="301" t="s">
        <v>180</v>
      </c>
      <c r="F4" s="303" t="s">
        <v>181</v>
      </c>
      <c r="G4" s="304"/>
    </row>
    <row r="5" spans="2:9" ht="15" thickBot="1">
      <c r="B5" s="300"/>
      <c r="C5" s="301"/>
      <c r="D5" s="302"/>
      <c r="E5" s="301"/>
      <c r="F5" s="305"/>
      <c r="G5" s="306"/>
    </row>
    <row r="6" spans="2:9" ht="15.75" thickTop="1">
      <c r="B6" s="258" t="s">
        <v>182</v>
      </c>
      <c r="C6" s="259"/>
      <c r="D6" s="260"/>
      <c r="E6" s="259"/>
      <c r="F6" s="261"/>
      <c r="G6" s="262"/>
    </row>
    <row r="7" spans="2:9" ht="28.5">
      <c r="B7" s="297" t="s">
        <v>224</v>
      </c>
      <c r="C7" s="259">
        <v>1350000</v>
      </c>
      <c r="D7" s="260">
        <v>1</v>
      </c>
      <c r="E7" s="259">
        <f>+C7*D7</f>
        <v>1350000</v>
      </c>
      <c r="F7" s="261"/>
      <c r="G7" s="262"/>
    </row>
    <row r="8" spans="2:9">
      <c r="B8" s="263" t="s">
        <v>204</v>
      </c>
      <c r="C8" s="259">
        <v>1580000</v>
      </c>
      <c r="D8" s="260">
        <v>1</v>
      </c>
      <c r="E8" s="264">
        <f>C8*D8</f>
        <v>1580000</v>
      </c>
      <c r="F8" s="265"/>
      <c r="G8" s="262"/>
    </row>
    <row r="9" spans="2:9">
      <c r="B9" s="263" t="s">
        <v>205</v>
      </c>
      <c r="C9" s="259">
        <v>2070000</v>
      </c>
      <c r="D9" s="260">
        <v>1</v>
      </c>
      <c r="E9" s="264">
        <f>C9*D9</f>
        <v>2070000</v>
      </c>
      <c r="F9" s="265"/>
      <c r="G9" s="262"/>
    </row>
    <row r="10" spans="2:9">
      <c r="B10" s="263"/>
      <c r="C10" s="259"/>
      <c r="D10" s="260"/>
      <c r="E10" s="264"/>
      <c r="F10" s="265"/>
      <c r="G10" s="262"/>
    </row>
    <row r="11" spans="2:9">
      <c r="B11" s="263"/>
      <c r="C11" s="259"/>
      <c r="D11" s="260"/>
      <c r="E11" s="264"/>
      <c r="F11" s="265"/>
      <c r="G11" s="262"/>
    </row>
    <row r="12" spans="2:9" ht="15">
      <c r="B12" s="266" t="s">
        <v>27</v>
      </c>
      <c r="C12" s="267"/>
      <c r="D12" s="268"/>
      <c r="E12" s="269">
        <f>SUM(E7:E11)</f>
        <v>5000000</v>
      </c>
      <c r="F12" s="265"/>
      <c r="G12" s="270">
        <f>E12*20</f>
        <v>100000000</v>
      </c>
    </row>
    <row r="13" spans="2:9">
      <c r="B13" s="263"/>
      <c r="C13" s="259"/>
      <c r="D13" s="260"/>
      <c r="E13" s="264"/>
      <c r="F13" s="265"/>
      <c r="G13" s="262"/>
    </row>
    <row r="14" spans="2:9" ht="15">
      <c r="B14" s="258" t="s">
        <v>183</v>
      </c>
      <c r="C14" s="259"/>
      <c r="D14" s="260"/>
      <c r="E14" s="259"/>
      <c r="F14" s="261"/>
      <c r="G14" s="262"/>
    </row>
    <row r="15" spans="2:9">
      <c r="B15" s="263" t="s">
        <v>206</v>
      </c>
      <c r="C15" s="259">
        <v>7000</v>
      </c>
      <c r="D15" s="260">
        <v>100</v>
      </c>
      <c r="E15" s="264">
        <f>C15*D15</f>
        <v>700000</v>
      </c>
      <c r="F15" s="265"/>
      <c r="G15" s="262"/>
    </row>
    <row r="16" spans="2:9">
      <c r="B16" s="263" t="s">
        <v>207</v>
      </c>
      <c r="C16" s="259">
        <v>20000</v>
      </c>
      <c r="D16" s="260">
        <v>4</v>
      </c>
      <c r="E16" s="264">
        <f>C16*D16</f>
        <v>80000</v>
      </c>
      <c r="F16" s="261"/>
      <c r="G16" s="271"/>
    </row>
    <row r="17" spans="2:9" ht="15">
      <c r="B17" s="266" t="s">
        <v>27</v>
      </c>
      <c r="C17" s="267"/>
      <c r="D17" s="268"/>
      <c r="E17" s="269">
        <f>SUM(E15:E16)</f>
        <v>780000</v>
      </c>
      <c r="F17" s="261"/>
      <c r="G17" s="270">
        <f>E17*20</f>
        <v>15600000</v>
      </c>
    </row>
    <row r="18" spans="2:9">
      <c r="B18" s="263"/>
      <c r="C18" s="259"/>
      <c r="D18" s="260"/>
      <c r="E18" s="264"/>
      <c r="F18" s="261"/>
      <c r="G18" s="271"/>
    </row>
    <row r="19" spans="2:9" ht="15">
      <c r="B19" s="258" t="s">
        <v>184</v>
      </c>
      <c r="C19" s="259"/>
      <c r="D19" s="260"/>
      <c r="E19" s="259"/>
      <c r="F19" s="265"/>
      <c r="G19" s="262"/>
      <c r="I19" s="272"/>
    </row>
    <row r="20" spans="2:9" ht="28.5">
      <c r="B20" s="263" t="s">
        <v>228</v>
      </c>
      <c r="C20" s="259">
        <v>200900</v>
      </c>
      <c r="D20" s="260">
        <v>1</v>
      </c>
      <c r="E20" s="264">
        <f>C20*D20</f>
        <v>200900</v>
      </c>
      <c r="F20" s="265"/>
      <c r="G20" s="262"/>
      <c r="I20" s="273"/>
    </row>
    <row r="21" spans="2:9">
      <c r="B21" s="263" t="s">
        <v>229</v>
      </c>
      <c r="C21" s="259">
        <v>29000</v>
      </c>
      <c r="D21" s="260">
        <v>1</v>
      </c>
      <c r="E21" s="264">
        <f>C21*D21</f>
        <v>29000</v>
      </c>
      <c r="F21" s="265"/>
      <c r="G21" s="262"/>
      <c r="I21" s="273"/>
    </row>
    <row r="22" spans="2:9" ht="28.5">
      <c r="B22" s="263" t="s">
        <v>230</v>
      </c>
      <c r="C22" s="259">
        <v>210200</v>
      </c>
      <c r="D22" s="260">
        <v>1</v>
      </c>
      <c r="E22" s="264">
        <f>C22*D22</f>
        <v>210200</v>
      </c>
      <c r="F22" s="265"/>
      <c r="G22" s="262"/>
      <c r="I22" s="273"/>
    </row>
    <row r="23" spans="2:9" ht="28.5">
      <c r="B23" s="263" t="s">
        <v>231</v>
      </c>
      <c r="C23" s="259">
        <v>240000</v>
      </c>
      <c r="D23" s="260">
        <v>1</v>
      </c>
      <c r="E23" s="264">
        <f>C23*D23</f>
        <v>240000</v>
      </c>
      <c r="F23" s="265"/>
      <c r="G23" s="262"/>
    </row>
    <row r="24" spans="2:9" ht="15">
      <c r="B24" s="263" t="s">
        <v>185</v>
      </c>
      <c r="C24" s="259"/>
      <c r="D24" s="260"/>
      <c r="E24" s="264">
        <f>C24*D24</f>
        <v>0</v>
      </c>
      <c r="F24" s="265"/>
      <c r="G24" s="271"/>
      <c r="I24" s="274"/>
    </row>
    <row r="25" spans="2:9" ht="15">
      <c r="B25" s="266" t="s">
        <v>27</v>
      </c>
      <c r="C25" s="267"/>
      <c r="D25" s="268"/>
      <c r="E25" s="269">
        <f>SUM(E20:E24)</f>
        <v>680100</v>
      </c>
      <c r="F25" s="265"/>
      <c r="G25" s="270">
        <f>E25*20</f>
        <v>13602000</v>
      </c>
      <c r="I25" s="274"/>
    </row>
    <row r="26" spans="2:9" ht="15">
      <c r="B26" s="263"/>
      <c r="C26" s="259"/>
      <c r="D26" s="260"/>
      <c r="E26" s="264"/>
      <c r="F26" s="265"/>
      <c r="G26" s="271"/>
      <c r="I26" s="274"/>
    </row>
    <row r="27" spans="2:9" ht="30">
      <c r="B27" s="258" t="s">
        <v>186</v>
      </c>
      <c r="C27" s="259"/>
      <c r="D27" s="260"/>
      <c r="E27" s="259"/>
      <c r="F27" s="261"/>
      <c r="G27" s="262"/>
    </row>
    <row r="28" spans="2:9">
      <c r="B28" s="263" t="s">
        <v>209</v>
      </c>
      <c r="C28" s="259">
        <v>124800</v>
      </c>
      <c r="D28" s="260">
        <v>1</v>
      </c>
      <c r="E28" s="264">
        <f t="shared" ref="E28:E34" si="0">C28*D28</f>
        <v>124800</v>
      </c>
      <c r="F28" s="265"/>
      <c r="G28" s="262"/>
    </row>
    <row r="29" spans="2:9">
      <c r="B29" s="263" t="s">
        <v>210</v>
      </c>
      <c r="C29" s="259">
        <v>130000</v>
      </c>
      <c r="D29" s="260">
        <v>1</v>
      </c>
      <c r="E29" s="264">
        <f t="shared" si="0"/>
        <v>130000</v>
      </c>
      <c r="F29" s="265"/>
      <c r="G29" s="262"/>
    </row>
    <row r="30" spans="2:9">
      <c r="B30" s="263" t="s">
        <v>187</v>
      </c>
      <c r="C30" s="259"/>
      <c r="D30" s="260"/>
      <c r="E30" s="264">
        <f t="shared" si="0"/>
        <v>0</v>
      </c>
      <c r="F30" s="265"/>
      <c r="G30" s="262"/>
    </row>
    <row r="31" spans="2:9">
      <c r="B31" s="263" t="s">
        <v>188</v>
      </c>
      <c r="C31" s="259"/>
      <c r="D31" s="260"/>
      <c r="E31" s="264">
        <f t="shared" si="0"/>
        <v>0</v>
      </c>
      <c r="F31" s="265"/>
      <c r="G31" s="262"/>
    </row>
    <row r="32" spans="2:9">
      <c r="B32" s="263" t="s">
        <v>189</v>
      </c>
      <c r="C32" s="259"/>
      <c r="D32" s="260"/>
      <c r="E32" s="264">
        <f t="shared" si="0"/>
        <v>0</v>
      </c>
      <c r="F32" s="265"/>
      <c r="G32" s="262"/>
    </row>
    <row r="33" spans="2:9">
      <c r="B33" s="263" t="s">
        <v>190</v>
      </c>
      <c r="C33" s="259"/>
      <c r="D33" s="260"/>
      <c r="E33" s="264">
        <f t="shared" si="0"/>
        <v>0</v>
      </c>
      <c r="F33" s="265"/>
      <c r="G33" s="262"/>
    </row>
    <row r="34" spans="2:9">
      <c r="B34" s="263" t="s">
        <v>185</v>
      </c>
      <c r="C34" s="259"/>
      <c r="D34" s="260"/>
      <c r="E34" s="264">
        <f t="shared" si="0"/>
        <v>0</v>
      </c>
      <c r="F34" s="265"/>
      <c r="G34" s="271"/>
    </row>
    <row r="35" spans="2:9" ht="15">
      <c r="B35" s="266" t="s">
        <v>27</v>
      </c>
      <c r="C35" s="267"/>
      <c r="D35" s="268"/>
      <c r="E35" s="269">
        <f>SUM(E28:E34)</f>
        <v>254800</v>
      </c>
      <c r="F35" s="265"/>
      <c r="G35" s="270">
        <f>E35*20</f>
        <v>5096000</v>
      </c>
    </row>
    <row r="36" spans="2:9" ht="15">
      <c r="B36" s="266"/>
      <c r="C36" s="267"/>
      <c r="D36" s="268"/>
      <c r="E36" s="269"/>
      <c r="F36" s="265"/>
      <c r="G36" s="271"/>
    </row>
    <row r="37" spans="2:9" ht="15">
      <c r="B37" s="266" t="s">
        <v>191</v>
      </c>
      <c r="C37" s="267"/>
      <c r="D37" s="268"/>
      <c r="E37" s="269">
        <f>D37*C37</f>
        <v>0</v>
      </c>
      <c r="F37" s="265"/>
      <c r="G37" s="270">
        <f>E37*20</f>
        <v>0</v>
      </c>
    </row>
    <row r="38" spans="2:9">
      <c r="B38" s="263"/>
      <c r="C38" s="259"/>
      <c r="D38" s="260"/>
      <c r="E38" s="264"/>
      <c r="F38" s="265"/>
      <c r="G38" s="271"/>
    </row>
    <row r="39" spans="2:9" ht="15">
      <c r="B39" s="258" t="s">
        <v>192</v>
      </c>
      <c r="C39" s="259"/>
      <c r="D39" s="260"/>
      <c r="E39" s="259"/>
      <c r="F39" s="261"/>
      <c r="G39" s="262"/>
    </row>
    <row r="40" spans="2:9">
      <c r="B40" s="275" t="s">
        <v>199</v>
      </c>
      <c r="C40" s="259">
        <v>4000</v>
      </c>
      <c r="D40" s="260">
        <v>250</v>
      </c>
      <c r="E40" s="264">
        <f>C40*D40</f>
        <v>1000000</v>
      </c>
      <c r="F40" s="265"/>
      <c r="G40" s="262"/>
    </row>
    <row r="41" spans="2:9">
      <c r="B41" s="275"/>
      <c r="C41" s="259"/>
      <c r="D41" s="260"/>
      <c r="E41" s="264">
        <f>C41*D41</f>
        <v>0</v>
      </c>
      <c r="F41" s="265"/>
      <c r="G41" s="262"/>
    </row>
    <row r="42" spans="2:9" ht="15">
      <c r="B42" s="276" t="s">
        <v>27</v>
      </c>
      <c r="C42" s="267"/>
      <c r="D42" s="268"/>
      <c r="E42" s="269">
        <f>SUM(E40:E41)</f>
        <v>1000000</v>
      </c>
      <c r="F42" s="265"/>
      <c r="G42" s="270">
        <f>E42*20</f>
        <v>20000000</v>
      </c>
    </row>
    <row r="43" spans="2:9" ht="15" thickBot="1">
      <c r="B43" s="263"/>
      <c r="C43" s="259"/>
      <c r="D43" s="260"/>
      <c r="E43" s="264"/>
      <c r="F43" s="277"/>
      <c r="G43" s="278"/>
      <c r="I43" s="256"/>
    </row>
    <row r="44" spans="2:9" ht="15.75" thickTop="1" thickBot="1">
      <c r="C44" s="279"/>
      <c r="E44" s="280"/>
      <c r="F44" s="280"/>
      <c r="G44" s="280"/>
      <c r="I44" s="256"/>
    </row>
    <row r="45" spans="2:9" ht="15.75" thickTop="1">
      <c r="C45" s="279"/>
      <c r="D45" s="279" t="s">
        <v>193</v>
      </c>
      <c r="E45" s="290">
        <f>SUM(E12+E17+E25+E35+E37+E42)</f>
        <v>7714900</v>
      </c>
      <c r="F45" s="290"/>
      <c r="G45" s="291">
        <f>SUM(G6:G43)</f>
        <v>154298000</v>
      </c>
      <c r="I45" s="256"/>
    </row>
    <row r="46" spans="2:9">
      <c r="B46" s="281"/>
      <c r="C46" s="282"/>
      <c r="E46" s="280"/>
      <c r="F46" s="280"/>
      <c r="G46" s="280"/>
      <c r="I46" s="256"/>
    </row>
    <row r="47" spans="2:9" ht="15" thickBot="1">
      <c r="B47" s="281"/>
      <c r="C47" s="282"/>
      <c r="E47" s="282"/>
      <c r="F47" s="282"/>
      <c r="G47" s="282"/>
      <c r="I47" s="256"/>
    </row>
    <row r="48" spans="2:9" ht="15">
      <c r="B48" s="283" t="s">
        <v>194</v>
      </c>
      <c r="C48" s="284"/>
      <c r="D48" s="285" t="s">
        <v>208</v>
      </c>
      <c r="E48" s="282"/>
      <c r="F48" s="282"/>
      <c r="G48" s="282"/>
    </row>
    <row r="49" spans="2:7" ht="15">
      <c r="B49" s="286" t="s">
        <v>195</v>
      </c>
      <c r="C49"/>
      <c r="D49" s="287">
        <v>1</v>
      </c>
      <c r="E49" s="282"/>
      <c r="F49" s="282"/>
      <c r="G49" s="282"/>
    </row>
    <row r="50" spans="2:7" ht="15">
      <c r="B50" s="286" t="s">
        <v>219</v>
      </c>
      <c r="C50"/>
      <c r="D50" s="287">
        <v>12</v>
      </c>
      <c r="E50" s="282"/>
      <c r="F50" s="282"/>
      <c r="G50" s="282"/>
    </row>
    <row r="51" spans="2:7" ht="15">
      <c r="B51" s="286" t="s">
        <v>220</v>
      </c>
      <c r="C51"/>
      <c r="D51" s="287">
        <v>0.5</v>
      </c>
      <c r="E51" s="282"/>
      <c r="F51" s="282"/>
      <c r="G51" s="282"/>
    </row>
    <row r="52" spans="2:7" ht="15">
      <c r="B52" s="286" t="s">
        <v>197</v>
      </c>
      <c r="C52"/>
      <c r="D52" s="288">
        <f>(D50+D51)*D49*1000</f>
        <v>12500</v>
      </c>
      <c r="E52" s="282"/>
      <c r="F52" s="282"/>
      <c r="G52" s="282"/>
    </row>
    <row r="53" spans="2:7" ht="15">
      <c r="B53" s="286" t="s">
        <v>221</v>
      </c>
      <c r="C53"/>
      <c r="D53" s="288">
        <f>+((D50*1000)/50)*D49</f>
        <v>240</v>
      </c>
      <c r="E53" s="282"/>
      <c r="F53" s="282"/>
      <c r="G53" s="282"/>
    </row>
    <row r="54" spans="2:7" ht="15">
      <c r="B54" s="286" t="s">
        <v>222</v>
      </c>
      <c r="C54"/>
      <c r="D54" s="288">
        <f>+((D51*1000)/50)*D49</f>
        <v>10</v>
      </c>
      <c r="E54" s="282"/>
      <c r="F54" s="282"/>
      <c r="G54" s="282"/>
    </row>
    <row r="55" spans="2:7" ht="15.75" thickBot="1">
      <c r="B55" s="286" t="s">
        <v>198</v>
      </c>
      <c r="C55"/>
      <c r="D55" s="289">
        <f>+D53+D54</f>
        <v>250</v>
      </c>
      <c r="E55" s="282"/>
      <c r="F55" s="282"/>
      <c r="G55" s="282"/>
    </row>
    <row r="56" spans="2:7" ht="15.75" thickBot="1">
      <c r="B56" s="292" t="s">
        <v>196</v>
      </c>
      <c r="C56" s="293"/>
      <c r="D56" s="294">
        <f>D55*D49</f>
        <v>250</v>
      </c>
    </row>
    <row r="59" spans="2:7" hidden="1"/>
  </sheetData>
  <mergeCells count="7">
    <mergeCell ref="B1:G1"/>
    <mergeCell ref="B2:G2"/>
    <mergeCell ref="B4:B5"/>
    <mergeCell ref="C4:C5"/>
    <mergeCell ref="D4:D5"/>
    <mergeCell ref="E4:E5"/>
    <mergeCell ref="F4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34"/>
  <sheetViews>
    <sheetView showGridLines="0" workbookViewId="0">
      <selection activeCell="G8" sqref="G8"/>
    </sheetView>
  </sheetViews>
  <sheetFormatPr baseColWidth="10" defaultRowHeight="15"/>
  <cols>
    <col min="1" max="1" width="5.7109375" customWidth="1"/>
    <col min="2" max="2" width="28.85546875" bestFit="1" customWidth="1"/>
    <col min="3" max="3" width="15.42578125" customWidth="1"/>
    <col min="4" max="6" width="15.140625" customWidth="1"/>
    <col min="7" max="7" width="15.42578125" customWidth="1"/>
    <col min="8" max="8" width="15.7109375" customWidth="1"/>
    <col min="9" max="9" width="17.85546875" customWidth="1"/>
    <col min="10" max="14" width="15" bestFit="1" customWidth="1"/>
    <col min="15" max="15" width="16.140625" bestFit="1" customWidth="1"/>
  </cols>
  <sheetData>
    <row r="2" spans="2:19" ht="18.75">
      <c r="C2" s="6" t="str">
        <f>INVERSIONES!B1</f>
        <v>Modelo agrosostenible para la producción agrícola con el fin de promover la adaptación ante el cambio climático en el departamento de Bolívar. 
Cultivo de Yuca y Frijol Caupí</v>
      </c>
    </row>
    <row r="3" spans="2:19">
      <c r="B3" s="2" t="s">
        <v>203</v>
      </c>
      <c r="C3" s="119"/>
    </row>
    <row r="4" spans="2:19">
      <c r="C4" s="119"/>
    </row>
    <row r="5" spans="2:19">
      <c r="B5" s="126" t="s">
        <v>15</v>
      </c>
      <c r="C5" s="126" t="s">
        <v>2</v>
      </c>
      <c r="D5" s="126" t="s">
        <v>3</v>
      </c>
      <c r="E5" s="126" t="s">
        <v>4</v>
      </c>
      <c r="F5" s="126" t="s">
        <v>5</v>
      </c>
      <c r="G5" s="126" t="s">
        <v>6</v>
      </c>
      <c r="H5" s="126" t="s">
        <v>7</v>
      </c>
      <c r="I5" s="126" t="s">
        <v>8</v>
      </c>
      <c r="J5" s="126" t="s">
        <v>9</v>
      </c>
      <c r="K5" s="126" t="s">
        <v>10</v>
      </c>
      <c r="L5" s="126" t="s">
        <v>11</v>
      </c>
      <c r="M5" s="126" t="s">
        <v>12</v>
      </c>
      <c r="N5" s="126" t="s">
        <v>13</v>
      </c>
      <c r="O5" s="126" t="s">
        <v>14</v>
      </c>
      <c r="P5" s="127" t="s">
        <v>33</v>
      </c>
      <c r="Q5" s="127" t="s">
        <v>34</v>
      </c>
      <c r="R5" s="127" t="s">
        <v>35</v>
      </c>
      <c r="S5" s="127" t="s">
        <v>36</v>
      </c>
    </row>
    <row r="6" spans="2:19">
      <c r="B6" s="120" t="s">
        <v>91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2:19">
      <c r="B7" s="121" t="s">
        <v>211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122">
        <f>SUM(C7:N7)</f>
        <v>0</v>
      </c>
      <c r="P7" s="116">
        <f t="shared" ref="P7:Q8" si="0">O7*1.05</f>
        <v>0</v>
      </c>
      <c r="Q7" s="116">
        <f t="shared" si="0"/>
        <v>0</v>
      </c>
      <c r="R7" s="116">
        <f t="shared" ref="R7:R8" si="1">Q7*1.05</f>
        <v>0</v>
      </c>
      <c r="S7" s="116">
        <f t="shared" ref="S7:S8" si="2">R7*1.05</f>
        <v>0</v>
      </c>
    </row>
    <row r="8" spans="2:19">
      <c r="B8" s="121" t="s">
        <v>212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22">
        <f>SUM(C8:N8)</f>
        <v>0</v>
      </c>
      <c r="P8" s="116">
        <f t="shared" si="0"/>
        <v>0</v>
      </c>
      <c r="Q8" s="116">
        <f t="shared" ref="Q8" si="3">P8*1.05</f>
        <v>0</v>
      </c>
      <c r="R8" s="116">
        <f t="shared" si="1"/>
        <v>0</v>
      </c>
      <c r="S8" s="116">
        <f t="shared" si="2"/>
        <v>0</v>
      </c>
    </row>
    <row r="9" spans="2:19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122"/>
      <c r="P9" s="116"/>
      <c r="Q9" s="116"/>
      <c r="R9" s="116"/>
      <c r="S9" s="116"/>
    </row>
    <row r="10" spans="2:19">
      <c r="B10" s="126" t="s">
        <v>14</v>
      </c>
      <c r="C10" s="128">
        <f t="shared" ref="C10:N10" si="4">SUM(C7:C9)</f>
        <v>0</v>
      </c>
      <c r="D10" s="128">
        <f t="shared" si="4"/>
        <v>0</v>
      </c>
      <c r="E10" s="128">
        <f t="shared" si="4"/>
        <v>0</v>
      </c>
      <c r="F10" s="128">
        <f t="shared" si="4"/>
        <v>0</v>
      </c>
      <c r="G10" s="128">
        <f t="shared" si="4"/>
        <v>0</v>
      </c>
      <c r="H10" s="128">
        <f t="shared" si="4"/>
        <v>0</v>
      </c>
      <c r="I10" s="128">
        <f t="shared" si="4"/>
        <v>0</v>
      </c>
      <c r="J10" s="128">
        <f t="shared" si="4"/>
        <v>0</v>
      </c>
      <c r="K10" s="128">
        <f t="shared" si="4"/>
        <v>0</v>
      </c>
      <c r="L10" s="128">
        <f t="shared" si="4"/>
        <v>0</v>
      </c>
      <c r="M10" s="128">
        <f t="shared" si="4"/>
        <v>0</v>
      </c>
      <c r="N10" s="128">
        <f t="shared" si="4"/>
        <v>0</v>
      </c>
      <c r="O10" s="129">
        <f>SUM(C10:N10)</f>
        <v>0</v>
      </c>
    </row>
    <row r="11" spans="2:19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2:19">
      <c r="B12" s="123" t="s">
        <v>92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3"/>
    </row>
    <row r="13" spans="2:19">
      <c r="B13" s="3" t="str">
        <f>B7</f>
        <v>Yuca</v>
      </c>
      <c r="C13" s="124">
        <v>0</v>
      </c>
      <c r="D13" s="124">
        <f>C13</f>
        <v>0</v>
      </c>
      <c r="E13" s="124">
        <f t="shared" ref="E13:N14" si="5">D13</f>
        <v>0</v>
      </c>
      <c r="F13" s="124">
        <f t="shared" si="5"/>
        <v>0</v>
      </c>
      <c r="G13" s="124">
        <f t="shared" si="5"/>
        <v>0</v>
      </c>
      <c r="H13" s="124">
        <f t="shared" si="5"/>
        <v>0</v>
      </c>
      <c r="I13" s="124">
        <f t="shared" si="5"/>
        <v>0</v>
      </c>
      <c r="J13" s="124">
        <f t="shared" si="5"/>
        <v>0</v>
      </c>
      <c r="K13" s="124">
        <f t="shared" si="5"/>
        <v>0</v>
      </c>
      <c r="L13" s="124">
        <f t="shared" si="5"/>
        <v>0</v>
      </c>
      <c r="M13" s="124">
        <f t="shared" si="5"/>
        <v>0</v>
      </c>
      <c r="N13" s="124">
        <f t="shared" si="5"/>
        <v>0</v>
      </c>
      <c r="O13" s="3"/>
    </row>
    <row r="14" spans="2:19">
      <c r="B14" s="3" t="str">
        <f>+B8</f>
        <v>Frijol Caupí</v>
      </c>
      <c r="C14" s="124">
        <v>0</v>
      </c>
      <c r="D14" s="124">
        <f>C14</f>
        <v>0</v>
      </c>
      <c r="E14" s="124">
        <f t="shared" si="5"/>
        <v>0</v>
      </c>
      <c r="F14" s="124">
        <f t="shared" si="5"/>
        <v>0</v>
      </c>
      <c r="G14" s="124">
        <f t="shared" si="5"/>
        <v>0</v>
      </c>
      <c r="H14" s="124">
        <f t="shared" si="5"/>
        <v>0</v>
      </c>
      <c r="I14" s="124">
        <f t="shared" si="5"/>
        <v>0</v>
      </c>
      <c r="J14" s="124">
        <f t="shared" si="5"/>
        <v>0</v>
      </c>
      <c r="K14" s="124">
        <f t="shared" si="5"/>
        <v>0</v>
      </c>
      <c r="L14" s="124">
        <f t="shared" si="5"/>
        <v>0</v>
      </c>
      <c r="M14" s="124">
        <f t="shared" si="5"/>
        <v>0</v>
      </c>
      <c r="N14" s="124">
        <f t="shared" si="5"/>
        <v>0</v>
      </c>
      <c r="O14" s="3"/>
    </row>
    <row r="15" spans="2:19">
      <c r="B15" s="3"/>
      <c r="C15" s="3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3"/>
    </row>
    <row r="16" spans="2:19">
      <c r="B16" s="126" t="s">
        <v>176</v>
      </c>
      <c r="C16" s="130">
        <f>SUM(C17:C19)</f>
        <v>0</v>
      </c>
      <c r="D16" s="130">
        <f t="shared" ref="D16:O16" si="6">SUM(D17:D19)</f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</row>
    <row r="17" spans="2:15">
      <c r="B17" s="14" t="str">
        <f>B13</f>
        <v>Yuca</v>
      </c>
      <c r="C17" s="125">
        <f>C13*C7</f>
        <v>0</v>
      </c>
      <c r="D17" s="125">
        <f t="shared" ref="D17" si="7">D13*D7</f>
        <v>0</v>
      </c>
      <c r="E17" s="125">
        <f t="shared" ref="E17:N17" si="8">E13*E7</f>
        <v>0</v>
      </c>
      <c r="F17" s="125">
        <f t="shared" si="8"/>
        <v>0</v>
      </c>
      <c r="G17" s="125">
        <f t="shared" si="8"/>
        <v>0</v>
      </c>
      <c r="H17" s="125">
        <f t="shared" si="8"/>
        <v>0</v>
      </c>
      <c r="I17" s="125">
        <f t="shared" si="8"/>
        <v>0</v>
      </c>
      <c r="J17" s="125">
        <f t="shared" si="8"/>
        <v>0</v>
      </c>
      <c r="K17" s="125">
        <f t="shared" si="8"/>
        <v>0</v>
      </c>
      <c r="L17" s="125">
        <f t="shared" si="8"/>
        <v>0</v>
      </c>
      <c r="M17" s="125">
        <f t="shared" si="8"/>
        <v>0</v>
      </c>
      <c r="N17" s="125">
        <f t="shared" si="8"/>
        <v>0</v>
      </c>
      <c r="O17" s="4">
        <f>SUM(C17:N17)</f>
        <v>0</v>
      </c>
    </row>
    <row r="18" spans="2:15">
      <c r="B18" s="14" t="str">
        <f>+B8</f>
        <v>Frijol Caupí</v>
      </c>
      <c r="C18" s="125">
        <f>C14*C8</f>
        <v>0</v>
      </c>
      <c r="D18" s="125">
        <f t="shared" ref="D18:N18" si="9">D14*D8</f>
        <v>0</v>
      </c>
      <c r="E18" s="125">
        <f t="shared" si="9"/>
        <v>0</v>
      </c>
      <c r="F18" s="125">
        <f t="shared" si="9"/>
        <v>0</v>
      </c>
      <c r="G18" s="125">
        <f t="shared" si="9"/>
        <v>0</v>
      </c>
      <c r="H18" s="125">
        <f t="shared" si="9"/>
        <v>0</v>
      </c>
      <c r="I18" s="125">
        <f t="shared" si="9"/>
        <v>0</v>
      </c>
      <c r="J18" s="125">
        <f t="shared" si="9"/>
        <v>0</v>
      </c>
      <c r="K18" s="125">
        <f t="shared" si="9"/>
        <v>0</v>
      </c>
      <c r="L18" s="125">
        <f t="shared" si="9"/>
        <v>0</v>
      </c>
      <c r="M18" s="125">
        <f t="shared" si="9"/>
        <v>0</v>
      </c>
      <c r="N18" s="125">
        <f t="shared" si="9"/>
        <v>0</v>
      </c>
      <c r="O18" s="4">
        <f>SUM(C18:N18)</f>
        <v>0</v>
      </c>
    </row>
    <row r="19" spans="2:15">
      <c r="B19" s="14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4"/>
    </row>
    <row r="20" spans="2:15">
      <c r="B20" s="126" t="s">
        <v>170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29"/>
    </row>
    <row r="21" spans="2:15">
      <c r="B21" s="3" t="str">
        <f>B13</f>
        <v>Yuca</v>
      </c>
      <c r="C21" s="4">
        <f>C7*5%</f>
        <v>0</v>
      </c>
      <c r="D21" s="4">
        <f t="shared" ref="D21:N21" si="10">D7*5%</f>
        <v>0</v>
      </c>
      <c r="E21" s="4">
        <f t="shared" si="10"/>
        <v>0</v>
      </c>
      <c r="F21" s="4">
        <f t="shared" si="10"/>
        <v>0</v>
      </c>
      <c r="G21" s="4">
        <f t="shared" si="10"/>
        <v>0</v>
      </c>
      <c r="H21" s="4">
        <f t="shared" si="10"/>
        <v>0</v>
      </c>
      <c r="I21" s="4">
        <f t="shared" si="10"/>
        <v>0</v>
      </c>
      <c r="J21" s="4">
        <f t="shared" si="10"/>
        <v>0</v>
      </c>
      <c r="K21" s="4">
        <f t="shared" si="10"/>
        <v>0</v>
      </c>
      <c r="L21" s="4">
        <f t="shared" si="10"/>
        <v>0</v>
      </c>
      <c r="M21" s="4">
        <f t="shared" si="10"/>
        <v>0</v>
      </c>
      <c r="N21" s="4">
        <f t="shared" si="10"/>
        <v>0</v>
      </c>
      <c r="O21" s="4"/>
    </row>
    <row r="22" spans="2:15">
      <c r="B22" s="3" t="str">
        <f>+B18</f>
        <v>Frijol Caupí</v>
      </c>
      <c r="C22" s="4">
        <f>C8*5%</f>
        <v>0</v>
      </c>
      <c r="D22" s="4">
        <f t="shared" ref="D22:N22" si="11">D8*5%</f>
        <v>0</v>
      </c>
      <c r="E22" s="4">
        <f t="shared" si="11"/>
        <v>0</v>
      </c>
      <c r="F22" s="4">
        <f t="shared" si="11"/>
        <v>0</v>
      </c>
      <c r="G22" s="4">
        <f t="shared" si="11"/>
        <v>0</v>
      </c>
      <c r="H22" s="4">
        <f t="shared" si="11"/>
        <v>0</v>
      </c>
      <c r="I22" s="4">
        <f t="shared" si="11"/>
        <v>0</v>
      </c>
      <c r="J22" s="4">
        <f t="shared" si="11"/>
        <v>0</v>
      </c>
      <c r="K22" s="4">
        <f t="shared" si="11"/>
        <v>0</v>
      </c>
      <c r="L22" s="4">
        <f t="shared" si="11"/>
        <v>0</v>
      </c>
      <c r="M22" s="4">
        <f t="shared" si="11"/>
        <v>0</v>
      </c>
      <c r="N22" s="4">
        <f t="shared" si="11"/>
        <v>0</v>
      </c>
      <c r="O22" s="4"/>
    </row>
    <row r="23" spans="2:15"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3"/>
    </row>
    <row r="24" spans="2:15">
      <c r="B24" s="126" t="s">
        <v>93</v>
      </c>
      <c r="C24" s="132">
        <f>SUM(C25:C27)</f>
        <v>0</v>
      </c>
      <c r="D24" s="132">
        <f t="shared" ref="D24:N24" si="12">SUM(D25:D27)</f>
        <v>0</v>
      </c>
      <c r="E24" s="132">
        <f t="shared" si="12"/>
        <v>0</v>
      </c>
      <c r="F24" s="132">
        <f t="shared" si="12"/>
        <v>0</v>
      </c>
      <c r="G24" s="146">
        <f t="shared" si="12"/>
        <v>0</v>
      </c>
      <c r="H24" s="132">
        <f t="shared" si="12"/>
        <v>0</v>
      </c>
      <c r="I24" s="132">
        <f t="shared" si="12"/>
        <v>0</v>
      </c>
      <c r="J24" s="132">
        <f t="shared" si="12"/>
        <v>0</v>
      </c>
      <c r="K24" s="146">
        <f t="shared" si="12"/>
        <v>0</v>
      </c>
      <c r="L24" s="132">
        <f t="shared" si="12"/>
        <v>0</v>
      </c>
      <c r="M24" s="132">
        <f t="shared" si="12"/>
        <v>0</v>
      </c>
      <c r="N24" s="132">
        <f t="shared" si="12"/>
        <v>0</v>
      </c>
      <c r="O24" s="133"/>
    </row>
    <row r="25" spans="2:15">
      <c r="B25" s="3" t="str">
        <f>B21</f>
        <v>Yuca</v>
      </c>
      <c r="C25" s="4">
        <f t="shared" ref="C25" si="13">C7-C21</f>
        <v>0</v>
      </c>
      <c r="D25" s="4">
        <f t="shared" ref="D25:N25" si="14">D7-D21</f>
        <v>0</v>
      </c>
      <c r="E25" s="4">
        <f t="shared" si="14"/>
        <v>0</v>
      </c>
      <c r="F25" s="4">
        <f t="shared" si="14"/>
        <v>0</v>
      </c>
      <c r="G25" s="4">
        <f t="shared" si="14"/>
        <v>0</v>
      </c>
      <c r="H25" s="4">
        <f t="shared" si="14"/>
        <v>0</v>
      </c>
      <c r="I25" s="4">
        <f t="shared" si="14"/>
        <v>0</v>
      </c>
      <c r="J25" s="4">
        <f t="shared" si="14"/>
        <v>0</v>
      </c>
      <c r="K25" s="4">
        <f t="shared" si="14"/>
        <v>0</v>
      </c>
      <c r="L25" s="4">
        <f t="shared" si="14"/>
        <v>0</v>
      </c>
      <c r="M25" s="4">
        <f t="shared" si="14"/>
        <v>0</v>
      </c>
      <c r="N25" s="4">
        <f t="shared" si="14"/>
        <v>0</v>
      </c>
      <c r="O25" s="4">
        <f>SUM(C25:N25)</f>
        <v>0</v>
      </c>
    </row>
    <row r="26" spans="2:15">
      <c r="B26" s="3" t="str">
        <f>+B22</f>
        <v>Frijol Caupí</v>
      </c>
      <c r="C26" s="295">
        <f t="shared" ref="C26:N26" si="15">C8-C22</f>
        <v>0</v>
      </c>
      <c r="D26" s="4">
        <f t="shared" si="15"/>
        <v>0</v>
      </c>
      <c r="E26" s="4">
        <f t="shared" si="15"/>
        <v>0</v>
      </c>
      <c r="F26" s="4">
        <f t="shared" si="15"/>
        <v>0</v>
      </c>
      <c r="G26" s="4">
        <f t="shared" si="15"/>
        <v>0</v>
      </c>
      <c r="H26" s="4">
        <f t="shared" si="15"/>
        <v>0</v>
      </c>
      <c r="I26" s="4">
        <f t="shared" si="15"/>
        <v>0</v>
      </c>
      <c r="J26" s="4">
        <f t="shared" si="15"/>
        <v>0</v>
      </c>
      <c r="K26" s="295">
        <f t="shared" si="15"/>
        <v>0</v>
      </c>
      <c r="L26" s="4">
        <f t="shared" si="15"/>
        <v>0</v>
      </c>
      <c r="M26" s="4">
        <f t="shared" si="15"/>
        <v>0</v>
      </c>
      <c r="N26" s="4">
        <f t="shared" si="15"/>
        <v>0</v>
      </c>
      <c r="O26" s="4">
        <f>SUM(C26:N26)</f>
        <v>0</v>
      </c>
    </row>
    <row r="27" spans="2:15"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2:15">
      <c r="B28" s="126" t="s">
        <v>94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</row>
    <row r="29" spans="2:15">
      <c r="B29" s="3" t="str">
        <f>B25</f>
        <v>Yuca</v>
      </c>
      <c r="C29" s="4">
        <f t="shared" ref="C29:O30" si="16">C25*1000</f>
        <v>0</v>
      </c>
      <c r="D29" s="4">
        <f t="shared" si="16"/>
        <v>0</v>
      </c>
      <c r="E29" s="4">
        <f t="shared" ref="E29:N29" si="17">E25*1000</f>
        <v>0</v>
      </c>
      <c r="F29" s="4">
        <f t="shared" si="17"/>
        <v>0</v>
      </c>
      <c r="G29" s="4">
        <f t="shared" si="17"/>
        <v>0</v>
      </c>
      <c r="H29" s="4">
        <f t="shared" si="17"/>
        <v>0</v>
      </c>
      <c r="I29" s="4">
        <f t="shared" si="17"/>
        <v>0</v>
      </c>
      <c r="J29" s="4">
        <f t="shared" si="17"/>
        <v>0</v>
      </c>
      <c r="K29" s="4">
        <f t="shared" si="17"/>
        <v>0</v>
      </c>
      <c r="L29" s="4">
        <f t="shared" si="17"/>
        <v>0</v>
      </c>
      <c r="M29" s="4">
        <f t="shared" si="17"/>
        <v>0</v>
      </c>
      <c r="N29" s="4">
        <f t="shared" si="17"/>
        <v>0</v>
      </c>
      <c r="O29" s="4">
        <f t="shared" si="16"/>
        <v>0</v>
      </c>
    </row>
    <row r="30" spans="2:15">
      <c r="B30" s="3" t="str">
        <f>+B26</f>
        <v>Frijol Caupí</v>
      </c>
      <c r="C30" s="4">
        <f t="shared" si="16"/>
        <v>0</v>
      </c>
      <c r="D30" s="4">
        <f t="shared" si="16"/>
        <v>0</v>
      </c>
      <c r="E30" s="4">
        <f t="shared" si="16"/>
        <v>0</v>
      </c>
      <c r="F30" s="4">
        <f t="shared" si="16"/>
        <v>0</v>
      </c>
      <c r="G30" s="4">
        <f t="shared" si="16"/>
        <v>0</v>
      </c>
      <c r="H30" s="4">
        <f t="shared" si="16"/>
        <v>0</v>
      </c>
      <c r="I30" s="4">
        <f t="shared" si="16"/>
        <v>0</v>
      </c>
      <c r="J30" s="4">
        <f t="shared" si="16"/>
        <v>0</v>
      </c>
      <c r="K30" s="4">
        <f t="shared" si="16"/>
        <v>0</v>
      </c>
      <c r="L30" s="4">
        <f t="shared" si="16"/>
        <v>0</v>
      </c>
      <c r="M30" s="4">
        <f t="shared" si="16"/>
        <v>0</v>
      </c>
      <c r="N30" s="4">
        <f t="shared" si="16"/>
        <v>0</v>
      </c>
      <c r="O30" s="4">
        <f t="shared" si="16"/>
        <v>0</v>
      </c>
    </row>
    <row r="31" spans="2:15"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2:15"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</row>
    <row r="34" spans="2:2">
      <c r="B34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62"/>
  <sheetViews>
    <sheetView showGridLines="0" topLeftCell="A50" zoomScale="85" zoomScaleNormal="85" workbookViewId="0">
      <selection activeCell="I41" sqref="I41"/>
    </sheetView>
  </sheetViews>
  <sheetFormatPr baseColWidth="10" defaultRowHeight="15"/>
  <cols>
    <col min="1" max="1" width="6.28515625" customWidth="1"/>
    <col min="2" max="2" width="45" customWidth="1"/>
    <col min="3" max="3" width="17.7109375" customWidth="1"/>
    <col min="4" max="4" width="17.140625" customWidth="1"/>
    <col min="5" max="5" width="17.7109375" customWidth="1"/>
    <col min="6" max="6" width="17.5703125" bestFit="1" customWidth="1"/>
    <col min="7" max="7" width="18.85546875" bestFit="1" customWidth="1"/>
    <col min="8" max="8" width="14" customWidth="1"/>
    <col min="9" max="9" width="13.5703125" customWidth="1"/>
    <col min="10" max="10" width="15.140625" bestFit="1" customWidth="1"/>
    <col min="11" max="11" width="14.140625" bestFit="1" customWidth="1"/>
    <col min="12" max="12" width="13.85546875" customWidth="1"/>
    <col min="13" max="14" width="13.140625" bestFit="1" customWidth="1"/>
    <col min="15" max="15" width="15" customWidth="1"/>
  </cols>
  <sheetData>
    <row r="1" spans="2:15" ht="19.5">
      <c r="B1" s="15" t="str">
        <f>ACOPIO!C2</f>
        <v>Modelo agrosostenible para la producción agrícola con el fin de promover la adaptación ante el cambio climático en el departamento de Bolívar. 
Cultivo de Yuca y Frijol Caupí</v>
      </c>
    </row>
    <row r="2" spans="2:15" ht="21">
      <c r="C2" s="134" t="s">
        <v>30</v>
      </c>
    </row>
    <row r="3" spans="2:15" ht="18.75" customHeight="1">
      <c r="B3" s="135"/>
      <c r="C3" s="134"/>
    </row>
    <row r="4" spans="2:15">
      <c r="B4" s="126" t="s">
        <v>15</v>
      </c>
      <c r="C4" s="126" t="s">
        <v>0</v>
      </c>
      <c r="D4" s="126" t="s">
        <v>1</v>
      </c>
      <c r="E4" s="126" t="s">
        <v>16</v>
      </c>
      <c r="F4" s="126" t="s">
        <v>17</v>
      </c>
      <c r="G4" s="126" t="s">
        <v>18</v>
      </c>
      <c r="H4" s="126" t="s">
        <v>19</v>
      </c>
      <c r="I4" s="126" t="s">
        <v>20</v>
      </c>
      <c r="J4" s="126" t="s">
        <v>21</v>
      </c>
      <c r="K4" s="126" t="s">
        <v>22</v>
      </c>
      <c r="L4" s="126" t="s">
        <v>23</v>
      </c>
      <c r="M4" s="126" t="s">
        <v>24</v>
      </c>
      <c r="N4" s="126" t="s">
        <v>25</v>
      </c>
      <c r="O4" s="126" t="s">
        <v>14</v>
      </c>
    </row>
    <row r="5" spans="2:15">
      <c r="B5" s="126" t="s">
        <v>26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</row>
    <row r="6" spans="2:15">
      <c r="B6" s="3" t="str">
        <f t="shared" ref="B6:B7" si="0">B54</f>
        <v>Mano de obra para acopio</v>
      </c>
      <c r="C6" s="136"/>
      <c r="D6" s="5"/>
      <c r="E6" s="5"/>
      <c r="F6" s="5"/>
      <c r="G6" s="5">
        <f>+G54</f>
        <v>0</v>
      </c>
      <c r="H6" s="5"/>
      <c r="I6" s="5"/>
      <c r="J6" s="5"/>
      <c r="K6" s="5"/>
      <c r="L6" s="5"/>
      <c r="M6" s="5"/>
      <c r="N6" s="5"/>
      <c r="O6" s="145">
        <f t="shared" ref="O6:O16" si="1">SUM(C6:N6)</f>
        <v>0</v>
      </c>
    </row>
    <row r="7" spans="2:15">
      <c r="B7" s="3" t="str">
        <f t="shared" si="0"/>
        <v>Mano de obra para carga y descarga</v>
      </c>
      <c r="C7" s="136"/>
      <c r="D7" s="5"/>
      <c r="E7" s="5"/>
      <c r="F7" s="5"/>
      <c r="G7" s="5">
        <f>+G55</f>
        <v>128000</v>
      </c>
      <c r="H7" s="5"/>
      <c r="I7" s="5"/>
      <c r="J7" s="5"/>
      <c r="K7" s="5"/>
      <c r="L7" s="5"/>
      <c r="M7" s="5"/>
      <c r="N7" s="5"/>
      <c r="O7" s="145">
        <f t="shared" si="1"/>
        <v>128000</v>
      </c>
    </row>
    <row r="8" spans="2:15">
      <c r="B8" s="3" t="str">
        <f t="shared" ref="B8:B14" si="2">B56</f>
        <v>Administrador general</v>
      </c>
      <c r="C8" s="136">
        <f t="shared" ref="C8:C14" si="3">G56</f>
        <v>0</v>
      </c>
      <c r="D8" s="5">
        <f t="shared" ref="D8:N14" si="4">C8</f>
        <v>0</v>
      </c>
      <c r="E8" s="5">
        <f t="shared" si="4"/>
        <v>0</v>
      </c>
      <c r="F8" s="5">
        <f t="shared" si="4"/>
        <v>0</v>
      </c>
      <c r="G8" s="5">
        <f t="shared" ref="G8:G15" si="5">+G56</f>
        <v>0</v>
      </c>
      <c r="H8" s="5">
        <f t="shared" si="4"/>
        <v>0</v>
      </c>
      <c r="I8" s="5">
        <f t="shared" si="4"/>
        <v>0</v>
      </c>
      <c r="J8" s="5">
        <f t="shared" si="4"/>
        <v>0</v>
      </c>
      <c r="K8" s="5">
        <f t="shared" si="4"/>
        <v>0</v>
      </c>
      <c r="L8" s="5">
        <f t="shared" si="4"/>
        <v>0</v>
      </c>
      <c r="M8" s="5">
        <f t="shared" si="4"/>
        <v>0</v>
      </c>
      <c r="N8" s="5">
        <f t="shared" si="4"/>
        <v>0</v>
      </c>
      <c r="O8" s="145">
        <f t="shared" si="1"/>
        <v>0</v>
      </c>
    </row>
    <row r="9" spans="2:15">
      <c r="B9" s="3" t="str">
        <f t="shared" si="2"/>
        <v>Contabilidad</v>
      </c>
      <c r="C9" s="136">
        <f t="shared" si="3"/>
        <v>0</v>
      </c>
      <c r="D9" s="5">
        <f t="shared" si="4"/>
        <v>0</v>
      </c>
      <c r="E9" s="5">
        <f t="shared" si="4"/>
        <v>0</v>
      </c>
      <c r="F9" s="5">
        <f t="shared" si="4"/>
        <v>0</v>
      </c>
      <c r="G9" s="5">
        <f t="shared" si="5"/>
        <v>0</v>
      </c>
      <c r="H9" s="5">
        <f t="shared" si="4"/>
        <v>0</v>
      </c>
      <c r="I9" s="5">
        <f t="shared" si="4"/>
        <v>0</v>
      </c>
      <c r="J9" s="5">
        <f t="shared" si="4"/>
        <v>0</v>
      </c>
      <c r="K9" s="5">
        <f t="shared" si="4"/>
        <v>0</v>
      </c>
      <c r="L9" s="5">
        <f t="shared" si="4"/>
        <v>0</v>
      </c>
      <c r="M9" s="5">
        <f t="shared" si="4"/>
        <v>0</v>
      </c>
      <c r="N9" s="5">
        <f t="shared" si="4"/>
        <v>0</v>
      </c>
      <c r="O9" s="145">
        <f t="shared" si="1"/>
        <v>0</v>
      </c>
    </row>
    <row r="10" spans="2:15">
      <c r="B10" s="3" t="str">
        <f t="shared" si="2"/>
        <v>Pago de luz</v>
      </c>
      <c r="C10" s="136">
        <f t="shared" si="3"/>
        <v>0</v>
      </c>
      <c r="D10" s="5">
        <f t="shared" si="4"/>
        <v>0</v>
      </c>
      <c r="E10" s="5">
        <f t="shared" si="4"/>
        <v>0</v>
      </c>
      <c r="F10" s="5">
        <f t="shared" si="4"/>
        <v>0</v>
      </c>
      <c r="G10" s="5">
        <f t="shared" si="5"/>
        <v>0</v>
      </c>
      <c r="H10" s="5">
        <f t="shared" si="4"/>
        <v>0</v>
      </c>
      <c r="I10" s="5">
        <f t="shared" si="4"/>
        <v>0</v>
      </c>
      <c r="J10" s="5">
        <f t="shared" si="4"/>
        <v>0</v>
      </c>
      <c r="K10" s="5">
        <f t="shared" si="4"/>
        <v>0</v>
      </c>
      <c r="L10" s="5">
        <f t="shared" si="4"/>
        <v>0</v>
      </c>
      <c r="M10" s="5">
        <f t="shared" si="4"/>
        <v>0</v>
      </c>
      <c r="N10" s="5">
        <f t="shared" si="4"/>
        <v>0</v>
      </c>
      <c r="O10" s="145">
        <f t="shared" si="1"/>
        <v>0</v>
      </c>
    </row>
    <row r="11" spans="2:15">
      <c r="B11" s="3" t="str">
        <f t="shared" si="2"/>
        <v>Pago de agua</v>
      </c>
      <c r="C11" s="136">
        <f t="shared" si="3"/>
        <v>0</v>
      </c>
      <c r="D11" s="5">
        <f t="shared" si="4"/>
        <v>0</v>
      </c>
      <c r="E11" s="5">
        <f t="shared" si="4"/>
        <v>0</v>
      </c>
      <c r="F11" s="5">
        <f t="shared" si="4"/>
        <v>0</v>
      </c>
      <c r="G11" s="5">
        <f t="shared" si="5"/>
        <v>0</v>
      </c>
      <c r="H11" s="5">
        <f t="shared" si="4"/>
        <v>0</v>
      </c>
      <c r="I11" s="5">
        <f t="shared" si="4"/>
        <v>0</v>
      </c>
      <c r="J11" s="5">
        <f t="shared" si="4"/>
        <v>0</v>
      </c>
      <c r="K11" s="5">
        <f t="shared" si="4"/>
        <v>0</v>
      </c>
      <c r="L11" s="5">
        <f t="shared" si="4"/>
        <v>0</v>
      </c>
      <c r="M11" s="5">
        <f t="shared" si="4"/>
        <v>0</v>
      </c>
      <c r="N11" s="5">
        <f t="shared" si="4"/>
        <v>0</v>
      </c>
      <c r="O11" s="145">
        <f t="shared" si="1"/>
        <v>0</v>
      </c>
    </row>
    <row r="12" spans="2:15">
      <c r="B12" s="3" t="str">
        <f t="shared" si="2"/>
        <v>Mantenimiento de equipo</v>
      </c>
      <c r="C12" s="136"/>
      <c r="D12" s="5"/>
      <c r="E12" s="5"/>
      <c r="F12" s="5"/>
      <c r="G12" s="5">
        <f t="shared" si="5"/>
        <v>1000000</v>
      </c>
      <c r="H12" s="5"/>
      <c r="I12" s="5"/>
      <c r="J12" s="5"/>
      <c r="K12" s="5"/>
      <c r="L12" s="5"/>
      <c r="M12" s="5"/>
      <c r="N12" s="5"/>
      <c r="O12" s="145">
        <f t="shared" si="1"/>
        <v>1000000</v>
      </c>
    </row>
    <row r="13" spans="2:15">
      <c r="B13" s="3" t="str">
        <f t="shared" si="2"/>
        <v>Telefono</v>
      </c>
      <c r="C13" s="136">
        <f t="shared" si="3"/>
        <v>0</v>
      </c>
      <c r="D13" s="5">
        <f t="shared" si="4"/>
        <v>0</v>
      </c>
      <c r="E13" s="5">
        <f t="shared" si="4"/>
        <v>0</v>
      </c>
      <c r="F13" s="5">
        <f t="shared" si="4"/>
        <v>0</v>
      </c>
      <c r="G13" s="5">
        <f t="shared" si="5"/>
        <v>0</v>
      </c>
      <c r="H13" s="5">
        <f t="shared" si="4"/>
        <v>0</v>
      </c>
      <c r="I13" s="5">
        <f t="shared" si="4"/>
        <v>0</v>
      </c>
      <c r="J13" s="5">
        <f t="shared" si="4"/>
        <v>0</v>
      </c>
      <c r="K13" s="5">
        <f t="shared" si="4"/>
        <v>0</v>
      </c>
      <c r="L13" s="5">
        <f t="shared" si="4"/>
        <v>0</v>
      </c>
      <c r="M13" s="5">
        <f t="shared" si="4"/>
        <v>0</v>
      </c>
      <c r="N13" s="5">
        <f t="shared" si="4"/>
        <v>0</v>
      </c>
      <c r="O13" s="145">
        <f t="shared" si="1"/>
        <v>0</v>
      </c>
    </row>
    <row r="14" spans="2:15">
      <c r="B14" s="3" t="str">
        <f t="shared" si="2"/>
        <v xml:space="preserve">Ventas </v>
      </c>
      <c r="C14" s="136">
        <f t="shared" si="3"/>
        <v>0</v>
      </c>
      <c r="D14" s="5">
        <f t="shared" si="4"/>
        <v>0</v>
      </c>
      <c r="E14" s="5">
        <f t="shared" si="4"/>
        <v>0</v>
      </c>
      <c r="F14" s="5">
        <f t="shared" si="4"/>
        <v>0</v>
      </c>
      <c r="G14" s="5">
        <f t="shared" si="5"/>
        <v>0</v>
      </c>
      <c r="H14" s="5">
        <f t="shared" si="4"/>
        <v>0</v>
      </c>
      <c r="I14" s="5">
        <f t="shared" si="4"/>
        <v>0</v>
      </c>
      <c r="J14" s="5">
        <f t="shared" si="4"/>
        <v>0</v>
      </c>
      <c r="K14" s="5">
        <f t="shared" si="4"/>
        <v>0</v>
      </c>
      <c r="L14" s="5">
        <f t="shared" si="4"/>
        <v>0</v>
      </c>
      <c r="M14" s="5">
        <f t="shared" si="4"/>
        <v>0</v>
      </c>
      <c r="N14" s="5">
        <f t="shared" si="4"/>
        <v>0</v>
      </c>
      <c r="O14" s="145">
        <f t="shared" si="1"/>
        <v>0</v>
      </c>
    </row>
    <row r="15" spans="2:15">
      <c r="B15" s="3"/>
      <c r="C15" s="136"/>
      <c r="D15" s="5"/>
      <c r="E15" s="5"/>
      <c r="F15" s="5"/>
      <c r="G15" s="5">
        <f t="shared" si="5"/>
        <v>0</v>
      </c>
      <c r="H15" s="5"/>
      <c r="I15" s="5"/>
      <c r="J15" s="5"/>
      <c r="K15" s="5"/>
      <c r="L15" s="5"/>
      <c r="M15" s="5"/>
      <c r="N15" s="5"/>
      <c r="O15" s="145"/>
    </row>
    <row r="16" spans="2:15">
      <c r="B16" s="126" t="s">
        <v>27</v>
      </c>
      <c r="C16" s="122">
        <f t="shared" ref="C16:N16" si="6">SUM(C6:C15)</f>
        <v>0</v>
      </c>
      <c r="D16" s="122">
        <f t="shared" si="6"/>
        <v>0</v>
      </c>
      <c r="E16" s="122">
        <f t="shared" si="6"/>
        <v>0</v>
      </c>
      <c r="F16" s="122">
        <f t="shared" si="6"/>
        <v>0</v>
      </c>
      <c r="G16" s="122">
        <f t="shared" si="6"/>
        <v>1128000</v>
      </c>
      <c r="H16" s="122">
        <f t="shared" si="6"/>
        <v>0</v>
      </c>
      <c r="I16" s="122">
        <f t="shared" si="6"/>
        <v>0</v>
      </c>
      <c r="J16" s="122">
        <f t="shared" si="6"/>
        <v>0</v>
      </c>
      <c r="K16" s="122">
        <f t="shared" si="6"/>
        <v>0</v>
      </c>
      <c r="L16" s="122">
        <f t="shared" si="6"/>
        <v>0</v>
      </c>
      <c r="M16" s="122">
        <f t="shared" si="6"/>
        <v>0</v>
      </c>
      <c r="N16" s="122">
        <f t="shared" si="6"/>
        <v>0</v>
      </c>
      <c r="O16" s="145">
        <f t="shared" si="1"/>
        <v>1128000</v>
      </c>
    </row>
    <row r="17" spans="2:15">
      <c r="B17" s="126" t="s">
        <v>29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23"/>
    </row>
    <row r="18" spans="2:15">
      <c r="B18" s="3" t="s">
        <v>213</v>
      </c>
      <c r="C18" s="5">
        <f>ACOPIO!C16</f>
        <v>0</v>
      </c>
      <c r="D18" s="5">
        <f>ACOPIO!D16</f>
        <v>0</v>
      </c>
      <c r="E18" s="5">
        <f>ACOPIO!E16</f>
        <v>0</v>
      </c>
      <c r="F18" s="5">
        <f>ACOPIO!F16</f>
        <v>0</v>
      </c>
      <c r="G18" s="5">
        <f>ACOPIO!G16</f>
        <v>0</v>
      </c>
      <c r="H18" s="5">
        <f>ACOPIO!H16</f>
        <v>0</v>
      </c>
      <c r="I18" s="5">
        <f>ACOPIO!I16</f>
        <v>0</v>
      </c>
      <c r="J18" s="5">
        <f>ACOPIO!J16</f>
        <v>0</v>
      </c>
      <c r="K18" s="5">
        <f>ACOPIO!K16</f>
        <v>0</v>
      </c>
      <c r="L18" s="5">
        <f>ACOPIO!L16</f>
        <v>0</v>
      </c>
      <c r="M18" s="5">
        <f>ACOPIO!M16</f>
        <v>0</v>
      </c>
      <c r="N18" s="5">
        <f>ACOPIO!N16</f>
        <v>0</v>
      </c>
      <c r="O18" s="145">
        <f t="shared" ref="O18:O20" si="7">SUM(C18:N18)</f>
        <v>0</v>
      </c>
    </row>
    <row r="19" spans="2:15">
      <c r="B19" s="3" t="s">
        <v>95</v>
      </c>
      <c r="C19" s="5"/>
      <c r="D19" s="5"/>
      <c r="E19" s="5"/>
      <c r="F19" s="5"/>
      <c r="G19" s="5">
        <v>800000</v>
      </c>
      <c r="H19" s="5"/>
      <c r="I19" s="5"/>
      <c r="J19" s="5"/>
      <c r="K19" s="5"/>
      <c r="L19" s="5"/>
      <c r="M19" s="5"/>
      <c r="N19" s="5"/>
      <c r="O19" s="145">
        <f t="shared" si="7"/>
        <v>800000</v>
      </c>
    </row>
    <row r="20" spans="2:15">
      <c r="B20" s="3" t="s">
        <v>171</v>
      </c>
      <c r="C20" s="5">
        <f>((ACOPIO!C24*1000)/50)*0.9</f>
        <v>0</v>
      </c>
      <c r="D20" s="5">
        <f>((ACOPIO!D24*1000)/50)*0.9</f>
        <v>0</v>
      </c>
      <c r="E20" s="5">
        <f>((ACOPIO!E24*1000)/50)*0.9</f>
        <v>0</v>
      </c>
      <c r="F20" s="5">
        <f>((ACOPIO!F24*1000)/50)*0.9</f>
        <v>0</v>
      </c>
      <c r="G20" s="5">
        <f>CULTIVO!D55*1000</f>
        <v>250000</v>
      </c>
      <c r="H20" s="5">
        <f>((ACOPIO!H24*1000)/50)*0.9</f>
        <v>0</v>
      </c>
      <c r="I20" s="5">
        <f>((ACOPIO!I24*1000)/50)*0.9</f>
        <v>0</v>
      </c>
      <c r="J20" s="5">
        <f>((ACOPIO!J24*1000)/50)*0.9</f>
        <v>0</v>
      </c>
      <c r="K20" s="5">
        <f>((ACOPIO!K24*1000)/50)*0.9</f>
        <v>0</v>
      </c>
      <c r="L20" s="5">
        <f>((ACOPIO!L24*1000)/50)*0.9</f>
        <v>0</v>
      </c>
      <c r="M20" s="5">
        <f>((ACOPIO!M24*1000)/50)*0.9</f>
        <v>0</v>
      </c>
      <c r="N20" s="5">
        <f>((ACOPIO!N24*1000)/50)*0.9</f>
        <v>0</v>
      </c>
      <c r="O20" s="145">
        <f t="shared" si="7"/>
        <v>250000</v>
      </c>
    </row>
    <row r="21" spans="2:15">
      <c r="B21" s="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45"/>
    </row>
    <row r="22" spans="2:15">
      <c r="B22" s="126" t="s">
        <v>27</v>
      </c>
      <c r="C22" s="122">
        <f t="shared" ref="C22:N22" si="8">SUM(C18:C21)</f>
        <v>0</v>
      </c>
      <c r="D22" s="122">
        <f t="shared" si="8"/>
        <v>0</v>
      </c>
      <c r="E22" s="122">
        <f t="shared" si="8"/>
        <v>0</v>
      </c>
      <c r="F22" s="122">
        <f t="shared" si="8"/>
        <v>0</v>
      </c>
      <c r="G22" s="122">
        <f t="shared" si="8"/>
        <v>1050000</v>
      </c>
      <c r="H22" s="122">
        <f t="shared" si="8"/>
        <v>0</v>
      </c>
      <c r="I22" s="122">
        <f t="shared" si="8"/>
        <v>0</v>
      </c>
      <c r="J22" s="122">
        <f t="shared" si="8"/>
        <v>0</v>
      </c>
      <c r="K22" s="122">
        <f t="shared" si="8"/>
        <v>0</v>
      </c>
      <c r="L22" s="122">
        <f t="shared" si="8"/>
        <v>0</v>
      </c>
      <c r="M22" s="122">
        <f t="shared" si="8"/>
        <v>0</v>
      </c>
      <c r="N22" s="122">
        <f t="shared" si="8"/>
        <v>0</v>
      </c>
      <c r="O22" s="145">
        <f>SUM(C22:N22)</f>
        <v>1050000</v>
      </c>
    </row>
    <row r="23" spans="2:15">
      <c r="B23" s="126" t="s">
        <v>28</v>
      </c>
      <c r="C23" s="129">
        <f t="shared" ref="C23:N23" si="9">SUM(C22+C16)</f>
        <v>0</v>
      </c>
      <c r="D23" s="129">
        <f t="shared" si="9"/>
        <v>0</v>
      </c>
      <c r="E23" s="129">
        <f t="shared" si="9"/>
        <v>0</v>
      </c>
      <c r="F23" s="129">
        <f t="shared" si="9"/>
        <v>0</v>
      </c>
      <c r="G23" s="129">
        <f>SUM(G22+G16)</f>
        <v>2178000</v>
      </c>
      <c r="H23" s="129">
        <f t="shared" si="9"/>
        <v>0</v>
      </c>
      <c r="I23" s="129">
        <f t="shared" si="9"/>
        <v>0</v>
      </c>
      <c r="J23" s="129">
        <f t="shared" si="9"/>
        <v>0</v>
      </c>
      <c r="K23" s="129">
        <f t="shared" si="9"/>
        <v>0</v>
      </c>
      <c r="L23" s="129">
        <f t="shared" si="9"/>
        <v>0</v>
      </c>
      <c r="M23" s="129">
        <f t="shared" si="9"/>
        <v>0</v>
      </c>
      <c r="N23" s="129">
        <f t="shared" si="9"/>
        <v>0</v>
      </c>
      <c r="O23" s="146">
        <f>SUM(C23:N23)</f>
        <v>2178000</v>
      </c>
    </row>
    <row r="25" spans="2:15" ht="18.75">
      <c r="C25" s="6" t="s">
        <v>31</v>
      </c>
    </row>
    <row r="26" spans="2:15">
      <c r="B26" s="126" t="s">
        <v>37</v>
      </c>
      <c r="C26" s="126" t="s">
        <v>32</v>
      </c>
      <c r="D26" s="126" t="s">
        <v>33</v>
      </c>
      <c r="E26" s="126" t="s">
        <v>34</v>
      </c>
      <c r="F26" s="126" t="s">
        <v>35</v>
      </c>
      <c r="G26" s="126" t="s">
        <v>36</v>
      </c>
    </row>
    <row r="27" spans="2:15">
      <c r="B27" s="126" t="str">
        <f t="shared" ref="B27:B36" si="10">B5</f>
        <v>Costos Fijos</v>
      </c>
      <c r="C27" s="138"/>
      <c r="D27" s="138"/>
      <c r="E27" s="138"/>
      <c r="F27" s="138"/>
      <c r="G27" s="138"/>
    </row>
    <row r="28" spans="2:15">
      <c r="B28" s="3" t="str">
        <f t="shared" si="10"/>
        <v>Mano de obra para acopio</v>
      </c>
      <c r="C28" s="5">
        <f t="shared" ref="C28:C36" si="11">O6</f>
        <v>0</v>
      </c>
      <c r="D28" s="5">
        <f>C28*1.05</f>
        <v>0</v>
      </c>
      <c r="E28" s="5">
        <f t="shared" ref="E28:G28" si="12">D28*1.05</f>
        <v>0</v>
      </c>
      <c r="F28" s="5">
        <f t="shared" si="12"/>
        <v>0</v>
      </c>
      <c r="G28" s="5">
        <f t="shared" si="12"/>
        <v>0</v>
      </c>
    </row>
    <row r="29" spans="2:15">
      <c r="B29" s="3" t="str">
        <f t="shared" si="10"/>
        <v>Mano de obra para carga y descarga</v>
      </c>
      <c r="C29" s="5">
        <f t="shared" si="11"/>
        <v>128000</v>
      </c>
      <c r="D29" s="5">
        <f t="shared" ref="D29:G36" si="13">C29*1.05</f>
        <v>134400</v>
      </c>
      <c r="E29" s="5">
        <f t="shared" si="13"/>
        <v>141120</v>
      </c>
      <c r="F29" s="5">
        <f t="shared" si="13"/>
        <v>148176</v>
      </c>
      <c r="G29" s="5">
        <f t="shared" si="13"/>
        <v>155584.80000000002</v>
      </c>
    </row>
    <row r="30" spans="2:15">
      <c r="B30" s="3" t="str">
        <f t="shared" si="10"/>
        <v>Administrador general</v>
      </c>
      <c r="C30" s="5">
        <f t="shared" si="11"/>
        <v>0</v>
      </c>
      <c r="D30" s="5">
        <f t="shared" si="13"/>
        <v>0</v>
      </c>
      <c r="E30" s="5">
        <f t="shared" si="13"/>
        <v>0</v>
      </c>
      <c r="F30" s="5">
        <f t="shared" si="13"/>
        <v>0</v>
      </c>
      <c r="G30" s="5">
        <f t="shared" si="13"/>
        <v>0</v>
      </c>
    </row>
    <row r="31" spans="2:15">
      <c r="B31" s="3" t="str">
        <f t="shared" si="10"/>
        <v>Contabilidad</v>
      </c>
      <c r="C31" s="5">
        <f t="shared" si="11"/>
        <v>0</v>
      </c>
      <c r="D31" s="5">
        <f t="shared" si="13"/>
        <v>0</v>
      </c>
      <c r="E31" s="5">
        <f t="shared" si="13"/>
        <v>0</v>
      </c>
      <c r="F31" s="5">
        <f t="shared" si="13"/>
        <v>0</v>
      </c>
      <c r="G31" s="5">
        <f t="shared" si="13"/>
        <v>0</v>
      </c>
    </row>
    <row r="32" spans="2:15">
      <c r="B32" s="3" t="str">
        <f t="shared" si="10"/>
        <v>Pago de luz</v>
      </c>
      <c r="C32" s="5">
        <f t="shared" si="11"/>
        <v>0</v>
      </c>
      <c r="D32" s="5">
        <f t="shared" si="13"/>
        <v>0</v>
      </c>
      <c r="E32" s="5">
        <f t="shared" si="13"/>
        <v>0</v>
      </c>
      <c r="F32" s="5">
        <f t="shared" si="13"/>
        <v>0</v>
      </c>
      <c r="G32" s="5">
        <f t="shared" si="13"/>
        <v>0</v>
      </c>
    </row>
    <row r="33" spans="2:11">
      <c r="B33" s="3" t="str">
        <f t="shared" si="10"/>
        <v>Pago de agua</v>
      </c>
      <c r="C33" s="5">
        <f t="shared" si="11"/>
        <v>0</v>
      </c>
      <c r="D33" s="5">
        <f t="shared" si="13"/>
        <v>0</v>
      </c>
      <c r="E33" s="5">
        <f t="shared" si="13"/>
        <v>0</v>
      </c>
      <c r="F33" s="5">
        <f t="shared" si="13"/>
        <v>0</v>
      </c>
      <c r="G33" s="5">
        <f t="shared" si="13"/>
        <v>0</v>
      </c>
    </row>
    <row r="34" spans="2:11">
      <c r="B34" s="3" t="str">
        <f t="shared" si="10"/>
        <v>Mantenimiento de equipo</v>
      </c>
      <c r="C34" s="5">
        <f t="shared" si="11"/>
        <v>1000000</v>
      </c>
      <c r="D34" s="5">
        <f t="shared" si="13"/>
        <v>1050000</v>
      </c>
      <c r="E34" s="5">
        <f t="shared" si="13"/>
        <v>1102500</v>
      </c>
      <c r="F34" s="5">
        <f t="shared" si="13"/>
        <v>1157625</v>
      </c>
      <c r="G34" s="5">
        <f t="shared" si="13"/>
        <v>1215506.25</v>
      </c>
    </row>
    <row r="35" spans="2:11">
      <c r="B35" s="3" t="str">
        <f t="shared" si="10"/>
        <v>Telefono</v>
      </c>
      <c r="C35" s="5">
        <f t="shared" si="11"/>
        <v>0</v>
      </c>
      <c r="D35" s="5">
        <f t="shared" si="13"/>
        <v>0</v>
      </c>
      <c r="E35" s="5">
        <f t="shared" si="13"/>
        <v>0</v>
      </c>
      <c r="F35" s="5">
        <f t="shared" si="13"/>
        <v>0</v>
      </c>
      <c r="G35" s="5">
        <f t="shared" si="13"/>
        <v>0</v>
      </c>
    </row>
    <row r="36" spans="2:11">
      <c r="B36" s="3" t="str">
        <f t="shared" si="10"/>
        <v xml:space="preserve">Ventas </v>
      </c>
      <c r="C36" s="5">
        <f t="shared" si="11"/>
        <v>0</v>
      </c>
      <c r="D36" s="5">
        <f t="shared" si="13"/>
        <v>0</v>
      </c>
      <c r="E36" s="5">
        <f t="shared" si="13"/>
        <v>0</v>
      </c>
      <c r="F36" s="5">
        <f t="shared" si="13"/>
        <v>0</v>
      </c>
      <c r="G36" s="5">
        <f t="shared" si="13"/>
        <v>0</v>
      </c>
      <c r="J36" s="296"/>
      <c r="K36" s="296"/>
    </row>
    <row r="37" spans="2:11">
      <c r="B37" s="3"/>
      <c r="C37" s="5"/>
      <c r="D37" s="5"/>
      <c r="E37" s="5"/>
      <c r="F37" s="5"/>
      <c r="G37" s="5"/>
    </row>
    <row r="38" spans="2:11">
      <c r="B38" s="126" t="str">
        <f>B16</f>
        <v>Subtotal</v>
      </c>
      <c r="C38" s="129">
        <f>SUM(C28:C37)</f>
        <v>1128000</v>
      </c>
      <c r="D38" s="129">
        <f>SUM(D28:D37)</f>
        <v>1184400</v>
      </c>
      <c r="E38" s="129">
        <f>SUM(E28:E37)</f>
        <v>1243620</v>
      </c>
      <c r="F38" s="129">
        <f>SUM(F28:F37)</f>
        <v>1305801</v>
      </c>
      <c r="G38" s="129">
        <f>SUM(G28:G37)</f>
        <v>1371091.05</v>
      </c>
    </row>
    <row r="39" spans="2:11">
      <c r="B39" s="3"/>
      <c r="C39" s="5"/>
      <c r="D39" s="5"/>
      <c r="E39" s="5"/>
      <c r="F39" s="5"/>
      <c r="G39" s="5"/>
    </row>
    <row r="40" spans="2:11">
      <c r="B40" s="126" t="str">
        <f>B17</f>
        <v>Costos Variables</v>
      </c>
      <c r="C40" s="5"/>
      <c r="D40" s="5"/>
      <c r="E40" s="5"/>
      <c r="F40" s="5"/>
      <c r="G40" s="5"/>
    </row>
    <row r="41" spans="2:11">
      <c r="B41" s="3" t="str">
        <f>B18</f>
        <v>Compra de yuca</v>
      </c>
      <c r="C41" s="5">
        <f>O18</f>
        <v>0</v>
      </c>
      <c r="D41" s="5">
        <f>C41*1.05</f>
        <v>0</v>
      </c>
      <c r="E41" s="5">
        <f t="shared" ref="E41:G41" si="14">D41*1.05</f>
        <v>0</v>
      </c>
      <c r="F41" s="5">
        <f t="shared" si="14"/>
        <v>0</v>
      </c>
      <c r="G41" s="5">
        <f t="shared" si="14"/>
        <v>0</v>
      </c>
    </row>
    <row r="42" spans="2:11">
      <c r="B42" s="3" t="s">
        <v>218</v>
      </c>
      <c r="C42" s="5">
        <f>+CULTIVO!E45</f>
        <v>7714900</v>
      </c>
      <c r="D42" s="5">
        <f>C42*1.05</f>
        <v>8100645</v>
      </c>
      <c r="E42" s="5">
        <f>D42*1.05</f>
        <v>8505677.25</v>
      </c>
      <c r="F42" s="5">
        <f>E42*1.05</f>
        <v>8930961.1125000007</v>
      </c>
      <c r="G42" s="5">
        <f>F42*1.05</f>
        <v>9377509.1681250017</v>
      </c>
    </row>
    <row r="43" spans="2:11">
      <c r="B43" s="3" t="str">
        <f>B19</f>
        <v>Fletes</v>
      </c>
      <c r="C43" s="5">
        <f>O19</f>
        <v>800000</v>
      </c>
      <c r="D43" s="5">
        <f t="shared" ref="D43:G44" si="15">C43*1.05</f>
        <v>840000</v>
      </c>
      <c r="E43" s="5">
        <f t="shared" si="15"/>
        <v>882000</v>
      </c>
      <c r="F43" s="5">
        <f t="shared" si="15"/>
        <v>926100</v>
      </c>
      <c r="G43" s="5">
        <f t="shared" si="15"/>
        <v>972405</v>
      </c>
    </row>
    <row r="44" spans="2:11">
      <c r="B44" s="3" t="str">
        <f>B20</f>
        <v>Bolsas de 50 kg</v>
      </c>
      <c r="C44" s="5">
        <f>O20</f>
        <v>250000</v>
      </c>
      <c r="D44" s="5">
        <f t="shared" si="15"/>
        <v>262500</v>
      </c>
      <c r="E44" s="5">
        <f t="shared" si="15"/>
        <v>275625</v>
      </c>
      <c r="F44" s="5">
        <f t="shared" si="15"/>
        <v>289406.25</v>
      </c>
      <c r="G44" s="5">
        <f t="shared" si="15"/>
        <v>303876.5625</v>
      </c>
    </row>
    <row r="45" spans="2:11">
      <c r="B45" s="3"/>
      <c r="C45" s="5"/>
      <c r="D45" s="5"/>
      <c r="E45" s="5"/>
      <c r="F45" s="5"/>
      <c r="G45" s="5"/>
    </row>
    <row r="46" spans="2:11">
      <c r="B46" s="126" t="str">
        <f>B22</f>
        <v>Subtotal</v>
      </c>
      <c r="C46" s="129">
        <f>SUM(C41:C45)</f>
        <v>8764900</v>
      </c>
      <c r="D46" s="129">
        <f>SUM(D41:D45)</f>
        <v>9203145</v>
      </c>
      <c r="E46" s="129">
        <f>SUM(E41:E45)</f>
        <v>9663302.25</v>
      </c>
      <c r="F46" s="129">
        <f>SUM(F41:F45)</f>
        <v>10146467.362500001</v>
      </c>
      <c r="G46" s="129">
        <f>SUM(G41:G45)</f>
        <v>10653790.730625002</v>
      </c>
    </row>
    <row r="47" spans="2:11">
      <c r="B47" s="3"/>
      <c r="C47" s="5"/>
      <c r="D47" s="5"/>
      <c r="E47" s="5"/>
      <c r="F47" s="5"/>
      <c r="G47" s="5"/>
    </row>
    <row r="48" spans="2:11" ht="15.75">
      <c r="B48" s="139" t="str">
        <f>B23</f>
        <v>Costos Totales</v>
      </c>
      <c r="C48" s="140">
        <f>SUM(C46+C38)</f>
        <v>9892900</v>
      </c>
      <c r="D48" s="140">
        <f>SUM(D46+D38)</f>
        <v>10387545</v>
      </c>
      <c r="E48" s="140">
        <f>SUM(E46+E38)</f>
        <v>10906922.25</v>
      </c>
      <c r="F48" s="140">
        <f>SUM(F46+F38)</f>
        <v>11452268.362500001</v>
      </c>
      <c r="G48" s="140">
        <f>SUM(G46+G38)</f>
        <v>12024881.780625002</v>
      </c>
    </row>
    <row r="51" spans="2:7">
      <c r="B51" s="2" t="s">
        <v>96</v>
      </c>
    </row>
    <row r="53" spans="2:7">
      <c r="B53" s="126" t="s">
        <v>97</v>
      </c>
      <c r="C53" s="126" t="s">
        <v>98</v>
      </c>
      <c r="D53" s="126" t="s">
        <v>42</v>
      </c>
      <c r="E53" s="126" t="s">
        <v>99</v>
      </c>
      <c r="F53" s="126" t="s">
        <v>100</v>
      </c>
      <c r="G53" s="126" t="s">
        <v>101</v>
      </c>
    </row>
    <row r="54" spans="2:7">
      <c r="B54" s="3" t="s">
        <v>102</v>
      </c>
      <c r="C54" s="3" t="s">
        <v>45</v>
      </c>
      <c r="D54" s="5"/>
      <c r="E54" s="5">
        <v>50000</v>
      </c>
      <c r="F54" s="5">
        <v>2</v>
      </c>
      <c r="G54" s="5">
        <f t="shared" ref="G54:G62" si="16">F54*E54*D54</f>
        <v>0</v>
      </c>
    </row>
    <row r="55" spans="2:7">
      <c r="B55" s="3" t="s">
        <v>172</v>
      </c>
      <c r="C55" s="3" t="s">
        <v>45</v>
      </c>
      <c r="D55" s="5">
        <v>2</v>
      </c>
      <c r="E55" s="5">
        <v>32000</v>
      </c>
      <c r="F55" s="5">
        <v>2</v>
      </c>
      <c r="G55" s="5">
        <f t="shared" si="16"/>
        <v>128000</v>
      </c>
    </row>
    <row r="56" spans="2:7">
      <c r="B56" s="3" t="s">
        <v>103</v>
      </c>
      <c r="C56" s="3" t="s">
        <v>104</v>
      </c>
      <c r="D56" s="5">
        <v>1</v>
      </c>
      <c r="E56" s="5">
        <v>0</v>
      </c>
      <c r="F56" s="5">
        <v>2</v>
      </c>
      <c r="G56" s="5">
        <f t="shared" si="16"/>
        <v>0</v>
      </c>
    </row>
    <row r="57" spans="2:7">
      <c r="B57" s="3" t="s">
        <v>105</v>
      </c>
      <c r="C57" s="3" t="s">
        <v>106</v>
      </c>
      <c r="D57" s="5">
        <v>1</v>
      </c>
      <c r="E57" s="5">
        <v>0</v>
      </c>
      <c r="F57" s="5">
        <v>1</v>
      </c>
      <c r="G57" s="5">
        <f t="shared" si="16"/>
        <v>0</v>
      </c>
    </row>
    <row r="58" spans="2:7">
      <c r="B58" s="3" t="s">
        <v>107</v>
      </c>
      <c r="C58" s="3" t="s">
        <v>108</v>
      </c>
      <c r="D58" s="5">
        <v>0.5</v>
      </c>
      <c r="E58" s="5">
        <v>0</v>
      </c>
      <c r="F58" s="5">
        <v>1</v>
      </c>
      <c r="G58" s="5">
        <f t="shared" si="16"/>
        <v>0</v>
      </c>
    </row>
    <row r="59" spans="2:7">
      <c r="B59" s="3" t="s">
        <v>109</v>
      </c>
      <c r="C59" s="3" t="s">
        <v>108</v>
      </c>
      <c r="D59" s="5">
        <v>1</v>
      </c>
      <c r="E59" s="5">
        <v>0</v>
      </c>
      <c r="F59" s="5">
        <v>1</v>
      </c>
      <c r="G59" s="5">
        <f t="shared" si="16"/>
        <v>0</v>
      </c>
    </row>
    <row r="60" spans="2:7">
      <c r="B60" s="3" t="s">
        <v>110</v>
      </c>
      <c r="C60" s="3" t="s">
        <v>106</v>
      </c>
      <c r="D60" s="5">
        <v>1</v>
      </c>
      <c r="E60" s="5">
        <v>1000000</v>
      </c>
      <c r="F60" s="5">
        <v>1</v>
      </c>
      <c r="G60" s="5">
        <f t="shared" si="16"/>
        <v>1000000</v>
      </c>
    </row>
    <row r="61" spans="2:7">
      <c r="B61" s="3" t="s">
        <v>111</v>
      </c>
      <c r="C61" s="3" t="s">
        <v>108</v>
      </c>
      <c r="D61" s="5">
        <v>1</v>
      </c>
      <c r="E61" s="5">
        <v>0</v>
      </c>
      <c r="F61" s="5">
        <v>1</v>
      </c>
      <c r="G61" s="5">
        <f t="shared" si="16"/>
        <v>0</v>
      </c>
    </row>
    <row r="62" spans="2:7">
      <c r="B62" s="3" t="s">
        <v>112</v>
      </c>
      <c r="C62" s="3" t="s">
        <v>104</v>
      </c>
      <c r="D62" s="5">
        <v>1</v>
      </c>
      <c r="E62" s="5">
        <v>0</v>
      </c>
      <c r="F62" s="5">
        <v>24</v>
      </c>
      <c r="G62" s="5">
        <f t="shared" si="16"/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showGridLines="0" topLeftCell="A6" zoomScaleNormal="100" workbookViewId="0">
      <selection activeCell="C19" sqref="C19"/>
    </sheetView>
  </sheetViews>
  <sheetFormatPr baseColWidth="10" defaultRowHeight="15"/>
  <cols>
    <col min="1" max="1" width="5.85546875" customWidth="1"/>
    <col min="2" max="2" width="34" customWidth="1"/>
    <col min="3" max="4" width="18.140625" customWidth="1"/>
    <col min="5" max="5" width="18" bestFit="1" customWidth="1"/>
    <col min="6" max="6" width="17.5703125" customWidth="1"/>
    <col min="7" max="7" width="18" bestFit="1" customWidth="1"/>
    <col min="10" max="10" width="15.140625" bestFit="1" customWidth="1"/>
  </cols>
  <sheetData>
    <row r="1" spans="1:10" ht="21">
      <c r="B1" s="309" t="str">
        <f>'MEMORIA COSTOS'!B1</f>
        <v>Modelo agrosostenible para la producción agrícola con el fin de promover la adaptación ante el cambio climático en el departamento de Bolívar. 
Cultivo de Yuca y Frijol Caupí</v>
      </c>
      <c r="C1" s="309"/>
      <c r="D1" s="309"/>
      <c r="E1" s="309"/>
      <c r="F1" s="309"/>
      <c r="G1" s="309"/>
    </row>
    <row r="2" spans="1:10" ht="21">
      <c r="A2" s="310" t="s">
        <v>62</v>
      </c>
      <c r="B2" s="310"/>
      <c r="C2" s="310"/>
      <c r="D2" s="310"/>
      <c r="E2" s="310"/>
      <c r="F2" s="310"/>
      <c r="G2" s="310"/>
    </row>
    <row r="3" spans="1:10" ht="15.75">
      <c r="B3" s="27" t="s">
        <v>60</v>
      </c>
      <c r="C3" s="27" t="s">
        <v>55</v>
      </c>
      <c r="D3" s="27" t="s">
        <v>56</v>
      </c>
      <c r="E3" s="27" t="s">
        <v>57</v>
      </c>
      <c r="F3" s="27" t="s">
        <v>58</v>
      </c>
      <c r="G3" s="27" t="s">
        <v>59</v>
      </c>
    </row>
    <row r="4" spans="1:10">
      <c r="B4" s="20" t="str">
        <f>'MEMORIA COSTOS'!B28</f>
        <v>Mano de obra para acopio</v>
      </c>
      <c r="C4" s="101">
        <f>'MEMORIA COSTOS'!C28</f>
        <v>0</v>
      </c>
      <c r="D4" s="101">
        <f>'MEMORIA COSTOS'!D28</f>
        <v>0</v>
      </c>
      <c r="E4" s="101">
        <f>'MEMORIA COSTOS'!E28</f>
        <v>0</v>
      </c>
      <c r="F4" s="101">
        <f>'MEMORIA COSTOS'!F28</f>
        <v>0</v>
      </c>
      <c r="G4" s="101">
        <f>'MEMORIA COSTOS'!G28</f>
        <v>0</v>
      </c>
    </row>
    <row r="5" spans="1:10">
      <c r="B5" s="20" t="str">
        <f>'MEMORIA COSTOS'!B29</f>
        <v>Mano de obra para carga y descarga</v>
      </c>
      <c r="C5" s="101">
        <f>'MEMORIA COSTOS'!C29</f>
        <v>128000</v>
      </c>
      <c r="D5" s="101">
        <f>'MEMORIA COSTOS'!D29</f>
        <v>134400</v>
      </c>
      <c r="E5" s="101">
        <f>'MEMORIA COSTOS'!E29</f>
        <v>141120</v>
      </c>
      <c r="F5" s="101">
        <f>'MEMORIA COSTOS'!F29</f>
        <v>148176</v>
      </c>
      <c r="G5" s="101">
        <f>'MEMORIA COSTOS'!G29</f>
        <v>155584.80000000002</v>
      </c>
    </row>
    <row r="6" spans="1:10">
      <c r="B6" s="20" t="str">
        <f>'MEMORIA COSTOS'!B30</f>
        <v>Administrador general</v>
      </c>
      <c r="C6" s="101">
        <f>'MEMORIA COSTOS'!C30</f>
        <v>0</v>
      </c>
      <c r="D6" s="101">
        <f>'MEMORIA COSTOS'!D30</f>
        <v>0</v>
      </c>
      <c r="E6" s="101">
        <f>'MEMORIA COSTOS'!E30</f>
        <v>0</v>
      </c>
      <c r="F6" s="101">
        <f>'MEMORIA COSTOS'!F30</f>
        <v>0</v>
      </c>
      <c r="G6" s="101">
        <f>'MEMORIA COSTOS'!G30</f>
        <v>0</v>
      </c>
    </row>
    <row r="7" spans="1:10">
      <c r="B7" s="20" t="str">
        <f>'MEMORIA COSTOS'!B31</f>
        <v>Contabilidad</v>
      </c>
      <c r="C7" s="101">
        <f>'MEMORIA COSTOS'!C31</f>
        <v>0</v>
      </c>
      <c r="D7" s="101">
        <f>'MEMORIA COSTOS'!D31</f>
        <v>0</v>
      </c>
      <c r="E7" s="101">
        <f>'MEMORIA COSTOS'!E31</f>
        <v>0</v>
      </c>
      <c r="F7" s="101">
        <f>'MEMORIA COSTOS'!F31</f>
        <v>0</v>
      </c>
      <c r="G7" s="101">
        <f>'MEMORIA COSTOS'!G31</f>
        <v>0</v>
      </c>
    </row>
    <row r="8" spans="1:10">
      <c r="B8" s="20" t="str">
        <f>'MEMORIA COSTOS'!B32</f>
        <v>Pago de luz</v>
      </c>
      <c r="C8" s="101">
        <f>'MEMORIA COSTOS'!C32</f>
        <v>0</v>
      </c>
      <c r="D8" s="101">
        <f>'MEMORIA COSTOS'!D32</f>
        <v>0</v>
      </c>
      <c r="E8" s="101">
        <f>'MEMORIA COSTOS'!E32</f>
        <v>0</v>
      </c>
      <c r="F8" s="101">
        <f>'MEMORIA COSTOS'!F32</f>
        <v>0</v>
      </c>
      <c r="G8" s="101">
        <f>'MEMORIA COSTOS'!G32</f>
        <v>0</v>
      </c>
    </row>
    <row r="9" spans="1:10">
      <c r="B9" s="20" t="str">
        <f>'MEMORIA COSTOS'!B33</f>
        <v>Pago de agua</v>
      </c>
      <c r="C9" s="101">
        <f>'MEMORIA COSTOS'!C33</f>
        <v>0</v>
      </c>
      <c r="D9" s="101">
        <f>'MEMORIA COSTOS'!D33</f>
        <v>0</v>
      </c>
      <c r="E9" s="101">
        <f>'MEMORIA COSTOS'!E33</f>
        <v>0</v>
      </c>
      <c r="F9" s="101">
        <f>'MEMORIA COSTOS'!F33</f>
        <v>0</v>
      </c>
      <c r="G9" s="101">
        <f>'MEMORIA COSTOS'!G33</f>
        <v>0</v>
      </c>
    </row>
    <row r="10" spans="1:10">
      <c r="B10" s="20" t="str">
        <f>'MEMORIA COSTOS'!B34</f>
        <v>Mantenimiento de equipo</v>
      </c>
      <c r="C10" s="101">
        <f>'MEMORIA COSTOS'!C34</f>
        <v>1000000</v>
      </c>
      <c r="D10" s="101">
        <f>'MEMORIA COSTOS'!D34</f>
        <v>1050000</v>
      </c>
      <c r="E10" s="101">
        <f>'MEMORIA COSTOS'!E34</f>
        <v>1102500</v>
      </c>
      <c r="F10" s="101">
        <f>'MEMORIA COSTOS'!F34</f>
        <v>1157625</v>
      </c>
      <c r="G10" s="101">
        <f>'MEMORIA COSTOS'!G34</f>
        <v>1215506.25</v>
      </c>
    </row>
    <row r="11" spans="1:10">
      <c r="B11" s="20" t="str">
        <f>'MEMORIA COSTOS'!B35</f>
        <v>Telefono</v>
      </c>
      <c r="C11" s="101">
        <f>'MEMORIA COSTOS'!C35</f>
        <v>0</v>
      </c>
      <c r="D11" s="101">
        <f>'MEMORIA COSTOS'!D35</f>
        <v>0</v>
      </c>
      <c r="E11" s="101">
        <f>'MEMORIA COSTOS'!E35</f>
        <v>0</v>
      </c>
      <c r="F11" s="101">
        <f>'MEMORIA COSTOS'!F35</f>
        <v>0</v>
      </c>
      <c r="G11" s="101">
        <f>'MEMORIA COSTOS'!G35</f>
        <v>0</v>
      </c>
    </row>
    <row r="12" spans="1:10">
      <c r="B12" s="20" t="str">
        <f>'MEMORIA COSTOS'!B36</f>
        <v xml:space="preserve">Ventas </v>
      </c>
      <c r="C12" s="101">
        <f>'MEMORIA COSTOS'!C36</f>
        <v>0</v>
      </c>
      <c r="D12" s="101">
        <f>'MEMORIA COSTOS'!D36</f>
        <v>0</v>
      </c>
      <c r="E12" s="101">
        <f>'MEMORIA COSTOS'!E36</f>
        <v>0</v>
      </c>
      <c r="F12" s="101">
        <f>'MEMORIA COSTOS'!F36</f>
        <v>0</v>
      </c>
      <c r="G12" s="101">
        <f>'MEMORIA COSTOS'!G36</f>
        <v>0</v>
      </c>
    </row>
    <row r="13" spans="1:10">
      <c r="B13" s="20"/>
      <c r="C13" s="101"/>
      <c r="D13" s="101"/>
      <c r="E13" s="101"/>
      <c r="F13" s="101"/>
      <c r="G13" s="101"/>
    </row>
    <row r="14" spans="1:10" ht="15.75">
      <c r="B14" s="27" t="s">
        <v>51</v>
      </c>
      <c r="C14" s="45">
        <f>SUM(C4:C13)</f>
        <v>1128000</v>
      </c>
      <c r="D14" s="45">
        <f>SUM(D4:D13)</f>
        <v>1184400</v>
      </c>
      <c r="E14" s="45">
        <f>SUM(E4:E13)</f>
        <v>1243620</v>
      </c>
      <c r="F14" s="45">
        <f>SUM(F4:F13)</f>
        <v>1305801</v>
      </c>
      <c r="G14" s="45">
        <f>SUM(G4:G13)</f>
        <v>1371091.05</v>
      </c>
      <c r="J14" s="1"/>
    </row>
    <row r="16" spans="1:10" ht="15.75">
      <c r="B16" s="27" t="s">
        <v>61</v>
      </c>
      <c r="C16" s="27" t="s">
        <v>55</v>
      </c>
      <c r="D16" s="27" t="s">
        <v>56</v>
      </c>
      <c r="E16" s="27" t="s">
        <v>57</v>
      </c>
      <c r="F16" s="27" t="s">
        <v>58</v>
      </c>
      <c r="G16" s="27" t="s">
        <v>59</v>
      </c>
    </row>
    <row r="17" spans="2:7">
      <c r="B17" s="24" t="str">
        <f>'MEMORIA COSTOS'!B41</f>
        <v>Compra de yuca</v>
      </c>
      <c r="C17" s="19">
        <f>'MEMORIA COSTOS'!C41</f>
        <v>0</v>
      </c>
      <c r="D17" s="19">
        <f>'MEMORIA COSTOS'!D41</f>
        <v>0</v>
      </c>
      <c r="E17" s="19">
        <f>'MEMORIA COSTOS'!E41</f>
        <v>0</v>
      </c>
      <c r="F17" s="19">
        <f>'MEMORIA COSTOS'!F41</f>
        <v>0</v>
      </c>
      <c r="G17" s="19">
        <f>'MEMORIA COSTOS'!G41</f>
        <v>0</v>
      </c>
    </row>
    <row r="18" spans="2:7">
      <c r="B18" s="24" t="str">
        <f>'MEMORIA COSTOS'!B42</f>
        <v>Produccion de yuca y Frijol Caupí</v>
      </c>
      <c r="C18" s="19">
        <f>'MEMORIA COSTOS'!C42</f>
        <v>7714900</v>
      </c>
      <c r="D18" s="19">
        <f>'MEMORIA COSTOS'!D42</f>
        <v>8100645</v>
      </c>
      <c r="E18" s="19">
        <f>'MEMORIA COSTOS'!E42</f>
        <v>8505677.25</v>
      </c>
      <c r="F18" s="19">
        <f>'MEMORIA COSTOS'!F42</f>
        <v>8930961.1125000007</v>
      </c>
      <c r="G18" s="19">
        <f>'MEMORIA COSTOS'!G42</f>
        <v>9377509.1681250017</v>
      </c>
    </row>
    <row r="19" spans="2:7">
      <c r="B19" s="24" t="str">
        <f>'MEMORIA COSTOS'!B43</f>
        <v>Fletes</v>
      </c>
      <c r="C19" s="19">
        <f>'MEMORIA COSTOS'!C43</f>
        <v>800000</v>
      </c>
      <c r="D19" s="19">
        <f>'MEMORIA COSTOS'!D43</f>
        <v>840000</v>
      </c>
      <c r="E19" s="19">
        <f>'MEMORIA COSTOS'!E43</f>
        <v>882000</v>
      </c>
      <c r="F19" s="19">
        <f>'MEMORIA COSTOS'!F43</f>
        <v>926100</v>
      </c>
      <c r="G19" s="19">
        <f>'MEMORIA COSTOS'!G43</f>
        <v>972405</v>
      </c>
    </row>
    <row r="20" spans="2:7">
      <c r="B20" s="24" t="str">
        <f>'MEMORIA COSTOS'!B44</f>
        <v>Bolsas de 50 kg</v>
      </c>
      <c r="C20" s="19">
        <f>'MEMORIA COSTOS'!C44</f>
        <v>250000</v>
      </c>
      <c r="D20" s="19">
        <f>'MEMORIA COSTOS'!D44</f>
        <v>262500</v>
      </c>
      <c r="E20" s="19">
        <f>'MEMORIA COSTOS'!E44</f>
        <v>275625</v>
      </c>
      <c r="F20" s="19">
        <f>'MEMORIA COSTOS'!F44</f>
        <v>289406.25</v>
      </c>
      <c r="G20" s="19">
        <f>'MEMORIA COSTOS'!G44</f>
        <v>303876.5625</v>
      </c>
    </row>
    <row r="21" spans="2:7">
      <c r="B21" s="24"/>
      <c r="C21" s="19"/>
      <c r="D21" s="19"/>
      <c r="E21" s="19"/>
      <c r="F21" s="19"/>
      <c r="G21" s="19"/>
    </row>
    <row r="22" spans="2:7">
      <c r="B22" s="20"/>
      <c r="C22" s="19"/>
      <c r="D22" s="19"/>
      <c r="E22" s="19"/>
      <c r="F22" s="19"/>
      <c r="G22" s="19"/>
    </row>
    <row r="23" spans="2:7" ht="15.75">
      <c r="B23" s="27" t="s">
        <v>51</v>
      </c>
      <c r="C23" s="45">
        <f>SUM(C17:C22)</f>
        <v>8764900</v>
      </c>
      <c r="D23" s="45">
        <f>SUM(D17:D22)</f>
        <v>9203145</v>
      </c>
      <c r="E23" s="45">
        <f>SUM(E17:E22)</f>
        <v>9663302.25</v>
      </c>
      <c r="F23" s="45">
        <f>SUM(F17:F22)</f>
        <v>10146467.362500001</v>
      </c>
      <c r="G23" s="45">
        <f>SUM(G17:G22)</f>
        <v>10653790.730625002</v>
      </c>
    </row>
    <row r="25" spans="2:7" ht="15.75">
      <c r="B25" s="27"/>
      <c r="C25" s="27" t="s">
        <v>55</v>
      </c>
      <c r="D25" s="27" t="s">
        <v>56</v>
      </c>
      <c r="E25" s="27" t="s">
        <v>57</v>
      </c>
      <c r="F25" s="27" t="s">
        <v>58</v>
      </c>
      <c r="G25" s="27" t="s">
        <v>59</v>
      </c>
    </row>
    <row r="26" spans="2:7" ht="15.75">
      <c r="B26" s="106" t="s">
        <v>63</v>
      </c>
      <c r="C26" s="107">
        <f>SUM(C14)</f>
        <v>1128000</v>
      </c>
      <c r="D26" s="107">
        <f>SUM(D14)</f>
        <v>1184400</v>
      </c>
      <c r="E26" s="107">
        <f>SUM(E14)</f>
        <v>1243620</v>
      </c>
      <c r="F26" s="107">
        <f>SUM(F14)</f>
        <v>1305801</v>
      </c>
      <c r="G26" s="107">
        <f>SUM(G14)</f>
        <v>1371091.05</v>
      </c>
    </row>
    <row r="27" spans="2:7" ht="15.75">
      <c r="B27" s="106" t="s">
        <v>61</v>
      </c>
      <c r="C27" s="107">
        <f>C23</f>
        <v>8764900</v>
      </c>
      <c r="D27" s="107">
        <f t="shared" ref="D27:G27" si="0">D23</f>
        <v>9203145</v>
      </c>
      <c r="E27" s="107">
        <f t="shared" si="0"/>
        <v>9663302.25</v>
      </c>
      <c r="F27" s="107">
        <f t="shared" si="0"/>
        <v>10146467.362500001</v>
      </c>
      <c r="G27" s="107">
        <f t="shared" si="0"/>
        <v>10653790.730625002</v>
      </c>
    </row>
    <row r="28" spans="2:7" ht="15.75">
      <c r="B28" s="46" t="s">
        <v>62</v>
      </c>
      <c r="C28" s="47">
        <f>SUM(C26:C27)</f>
        <v>9892900</v>
      </c>
      <c r="D28" s="47">
        <f t="shared" ref="D28:G28" si="1">SUM(D26:D27)</f>
        <v>10387545</v>
      </c>
      <c r="E28" s="47">
        <f t="shared" si="1"/>
        <v>10906922.25</v>
      </c>
      <c r="F28" s="47">
        <f t="shared" si="1"/>
        <v>11452268.362500001</v>
      </c>
      <c r="G28" s="47">
        <f t="shared" si="1"/>
        <v>12024881.780625002</v>
      </c>
    </row>
  </sheetData>
  <mergeCells count="2">
    <mergeCell ref="B1:G1"/>
    <mergeCell ref="A2:G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1"/>
  <sheetViews>
    <sheetView showGridLines="0" topLeftCell="C18" workbookViewId="0">
      <selection activeCell="D18" sqref="D18"/>
    </sheetView>
  </sheetViews>
  <sheetFormatPr baseColWidth="10" defaultRowHeight="15"/>
  <cols>
    <col min="1" max="1" width="10.85546875" customWidth="1"/>
    <col min="2" max="2" width="34.140625" customWidth="1"/>
    <col min="3" max="3" width="12.85546875" customWidth="1"/>
    <col min="4" max="6" width="13.28515625" bestFit="1" customWidth="1"/>
    <col min="7" max="7" width="14.140625" bestFit="1" customWidth="1"/>
    <col min="8" max="8" width="14.42578125" customWidth="1"/>
    <col min="9" max="9" width="13.140625" customWidth="1"/>
    <col min="10" max="10" width="14.42578125" customWidth="1"/>
    <col min="11" max="11" width="16.28515625" customWidth="1"/>
    <col min="12" max="12" width="13.85546875" customWidth="1"/>
    <col min="13" max="13" width="13.42578125" customWidth="1"/>
    <col min="14" max="14" width="12.140625" bestFit="1" customWidth="1"/>
    <col min="15" max="15" width="14.42578125" customWidth="1"/>
  </cols>
  <sheetData>
    <row r="1" spans="1:19" ht="15.75" thickBot="1">
      <c r="A1" s="16"/>
    </row>
    <row r="2" spans="1:19" ht="18.75">
      <c r="C2" s="6" t="s">
        <v>39</v>
      </c>
    </row>
    <row r="4" spans="1:19">
      <c r="C4" s="2" t="s">
        <v>173</v>
      </c>
    </row>
    <row r="5" spans="1:19">
      <c r="B5" s="44" t="s">
        <v>38</v>
      </c>
      <c r="C5" s="82" t="s">
        <v>32</v>
      </c>
      <c r="D5" s="82" t="s">
        <v>33</v>
      </c>
      <c r="E5" s="82" t="s">
        <v>34</v>
      </c>
      <c r="F5" s="82" t="s">
        <v>35</v>
      </c>
      <c r="G5" s="82" t="s">
        <v>36</v>
      </c>
      <c r="H5" s="141"/>
      <c r="I5" s="141"/>
      <c r="J5" s="141"/>
      <c r="K5" s="141"/>
      <c r="L5" s="141"/>
    </row>
    <row r="6" spans="1:19">
      <c r="B6" s="10"/>
      <c r="C6" s="11"/>
      <c r="D6" s="11"/>
      <c r="E6" s="11"/>
      <c r="F6" s="11"/>
      <c r="G6" s="11"/>
    </row>
    <row r="7" spans="1:19">
      <c r="B7" s="14" t="s">
        <v>214</v>
      </c>
      <c r="C7" s="112">
        <f>O31</f>
        <v>19000000</v>
      </c>
      <c r="D7" s="112">
        <f>C7*1.05</f>
        <v>19950000</v>
      </c>
      <c r="E7" s="112">
        <f>D7*1.05</f>
        <v>20947500</v>
      </c>
      <c r="F7" s="112">
        <f>E7*1.05</f>
        <v>21994875</v>
      </c>
      <c r="G7" s="112">
        <f>F7*1.05</f>
        <v>23094618.75</v>
      </c>
      <c r="H7" s="142"/>
      <c r="I7" s="142"/>
      <c r="J7" s="142"/>
      <c r="K7" s="142"/>
      <c r="L7" s="142"/>
    </row>
    <row r="8" spans="1:19">
      <c r="B8" s="14" t="s">
        <v>215</v>
      </c>
      <c r="C8" s="112"/>
      <c r="D8" s="112"/>
      <c r="E8" s="112"/>
      <c r="F8" s="112"/>
      <c r="G8" s="112"/>
      <c r="H8" s="142"/>
      <c r="I8" s="142"/>
      <c r="J8" s="142"/>
      <c r="K8" s="142"/>
      <c r="L8" s="142"/>
    </row>
    <row r="9" spans="1:19">
      <c r="B9" s="14"/>
      <c r="C9" s="112"/>
      <c r="D9" s="112"/>
      <c r="E9" s="112"/>
      <c r="F9" s="112"/>
      <c r="G9" s="112"/>
      <c r="H9" s="142"/>
      <c r="I9" s="142"/>
      <c r="J9" s="142"/>
      <c r="K9" s="142"/>
      <c r="L9" s="142"/>
    </row>
    <row r="10" spans="1:19">
      <c r="B10" s="10"/>
      <c r="C10" s="113"/>
      <c r="D10" s="113"/>
      <c r="E10" s="113"/>
      <c r="F10" s="113"/>
      <c r="G10" s="113"/>
      <c r="H10" s="143"/>
      <c r="I10" s="143"/>
      <c r="J10" s="143"/>
      <c r="K10" s="143"/>
      <c r="L10" s="143"/>
    </row>
    <row r="11" spans="1:19">
      <c r="B11" s="44" t="s">
        <v>40</v>
      </c>
      <c r="C11" s="114">
        <f>SUM(C7:C9)</f>
        <v>19000000</v>
      </c>
      <c r="D11" s="114">
        <f t="shared" ref="D11:G11" si="0">SUM(D7:D9)</f>
        <v>19950000</v>
      </c>
      <c r="E11" s="114">
        <f t="shared" si="0"/>
        <v>20947500</v>
      </c>
      <c r="F11" s="114">
        <f t="shared" si="0"/>
        <v>21994875</v>
      </c>
      <c r="G11" s="114">
        <f t="shared" si="0"/>
        <v>23094618.75</v>
      </c>
      <c r="H11" s="144"/>
      <c r="I11" s="144"/>
      <c r="J11" s="144"/>
      <c r="K11" s="144"/>
      <c r="L11" s="144"/>
    </row>
    <row r="13" spans="1:19">
      <c r="B13" s="2" t="s">
        <v>177</v>
      </c>
    </row>
    <row r="15" spans="1:19">
      <c r="B15" s="44" t="s">
        <v>15</v>
      </c>
      <c r="C15" s="44" t="s">
        <v>2</v>
      </c>
      <c r="D15" s="44" t="s">
        <v>3</v>
      </c>
      <c r="E15" s="44" t="s">
        <v>4</v>
      </c>
      <c r="F15" s="44" t="s">
        <v>5</v>
      </c>
      <c r="G15" s="44" t="s">
        <v>6</v>
      </c>
      <c r="H15" s="44" t="s">
        <v>7</v>
      </c>
      <c r="I15" s="44" t="s">
        <v>8</v>
      </c>
      <c r="J15" s="44" t="s">
        <v>9</v>
      </c>
      <c r="K15" s="44" t="s">
        <v>10</v>
      </c>
      <c r="L15" s="44" t="s">
        <v>11</v>
      </c>
      <c r="M15" s="44" t="s">
        <v>12</v>
      </c>
      <c r="N15" s="44" t="s">
        <v>13</v>
      </c>
      <c r="O15" s="84" t="s">
        <v>90</v>
      </c>
      <c r="P15" s="84" t="s">
        <v>33</v>
      </c>
      <c r="Q15" s="84" t="s">
        <v>34</v>
      </c>
      <c r="R15" s="84" t="s">
        <v>35</v>
      </c>
      <c r="S15" s="84" t="s">
        <v>36</v>
      </c>
    </row>
    <row r="16" spans="1:19">
      <c r="B16" s="105" t="s">
        <v>89</v>
      </c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</row>
    <row r="17" spans="2:19">
      <c r="B17" s="3" t="s">
        <v>216</v>
      </c>
      <c r="C17" s="110"/>
      <c r="D17" s="110"/>
      <c r="E17" s="110"/>
      <c r="F17" s="110"/>
      <c r="G17" s="110">
        <f>+CULTIVO!D53</f>
        <v>240</v>
      </c>
      <c r="H17" s="110"/>
      <c r="I17" s="110"/>
      <c r="J17" s="110"/>
      <c r="K17" s="110"/>
      <c r="L17" s="110"/>
      <c r="M17" s="110"/>
      <c r="N17" s="110"/>
      <c r="O17" s="111">
        <f>SUM(C17:N17)</f>
        <v>240</v>
      </c>
      <c r="P17" s="115">
        <f>O17*1.05</f>
        <v>252</v>
      </c>
      <c r="Q17" s="115">
        <f t="shared" ref="Q17:S18" si="1">P17*1.05</f>
        <v>264.60000000000002</v>
      </c>
      <c r="R17" s="115">
        <f t="shared" si="1"/>
        <v>277.83000000000004</v>
      </c>
      <c r="S17" s="115">
        <f t="shared" si="1"/>
        <v>291.72150000000005</v>
      </c>
    </row>
    <row r="18" spans="2:19">
      <c r="B18" s="3" t="s">
        <v>217</v>
      </c>
      <c r="C18" s="110"/>
      <c r="D18" s="110">
        <f>+CULTIVO!D54</f>
        <v>10</v>
      </c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1">
        <f>SUM(C18:N18)</f>
        <v>10</v>
      </c>
      <c r="P18" s="115">
        <f>O18*1.05</f>
        <v>10.5</v>
      </c>
      <c r="Q18" s="115">
        <f t="shared" si="1"/>
        <v>11.025</v>
      </c>
      <c r="R18" s="115">
        <f t="shared" si="1"/>
        <v>11.576250000000002</v>
      </c>
      <c r="S18" s="115">
        <f t="shared" si="1"/>
        <v>12.155062500000001</v>
      </c>
    </row>
    <row r="19" spans="2:19">
      <c r="B19" s="3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1"/>
      <c r="P19" s="115"/>
      <c r="Q19" s="115"/>
      <c r="R19" s="115"/>
      <c r="S19" s="115"/>
    </row>
    <row r="20" spans="2:19">
      <c r="B20" s="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2:19">
      <c r="B21" s="105" t="s">
        <v>174</v>
      </c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</row>
    <row r="22" spans="2:19">
      <c r="B22" s="3" t="str">
        <f>B17</f>
        <v>Yuca 50 kg</v>
      </c>
      <c r="C22" s="12">
        <v>75000</v>
      </c>
      <c r="D22" s="12">
        <f>C22</f>
        <v>75000</v>
      </c>
      <c r="E22" s="12">
        <f t="shared" ref="E22:N22" si="2">D22</f>
        <v>75000</v>
      </c>
      <c r="F22" s="12">
        <f t="shared" si="2"/>
        <v>75000</v>
      </c>
      <c r="G22" s="12">
        <f t="shared" si="2"/>
        <v>75000</v>
      </c>
      <c r="H22" s="12">
        <f t="shared" si="2"/>
        <v>75000</v>
      </c>
      <c r="I22" s="12">
        <f t="shared" si="2"/>
        <v>75000</v>
      </c>
      <c r="J22" s="12">
        <f t="shared" si="2"/>
        <v>75000</v>
      </c>
      <c r="K22" s="12">
        <f t="shared" si="2"/>
        <v>75000</v>
      </c>
      <c r="L22" s="12">
        <f t="shared" si="2"/>
        <v>75000</v>
      </c>
      <c r="M22" s="12">
        <f t="shared" si="2"/>
        <v>75000</v>
      </c>
      <c r="N22" s="12">
        <f t="shared" si="2"/>
        <v>75000</v>
      </c>
      <c r="O22" s="12"/>
    </row>
    <row r="23" spans="2:19">
      <c r="B23" s="3" t="str">
        <f>+B18</f>
        <v>Frijol Caupí 50 kg</v>
      </c>
      <c r="C23" s="12">
        <v>100000</v>
      </c>
      <c r="D23" s="12">
        <v>100000</v>
      </c>
      <c r="E23" s="12">
        <v>100000</v>
      </c>
      <c r="F23" s="12">
        <v>100000</v>
      </c>
      <c r="G23" s="12">
        <v>100000</v>
      </c>
      <c r="H23" s="12">
        <v>100000</v>
      </c>
      <c r="I23" s="12">
        <v>100000</v>
      </c>
      <c r="J23" s="12">
        <v>100000</v>
      </c>
      <c r="K23" s="12">
        <v>100000</v>
      </c>
      <c r="L23" s="12">
        <v>100000</v>
      </c>
      <c r="M23" s="12">
        <v>100000</v>
      </c>
      <c r="N23" s="12">
        <v>100000</v>
      </c>
      <c r="O23" s="12"/>
    </row>
    <row r="24" spans="2:19">
      <c r="B24" s="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2:19">
      <c r="B25" s="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2:19">
      <c r="B26" s="105" t="s">
        <v>88</v>
      </c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</row>
    <row r="27" spans="2:19">
      <c r="B27" s="3" t="str">
        <f>B22</f>
        <v>Yuca 50 kg</v>
      </c>
      <c r="C27" s="12">
        <f>C22*C17</f>
        <v>0</v>
      </c>
      <c r="D27" s="12">
        <f t="shared" ref="D27:N28" si="3">D22*D17</f>
        <v>0</v>
      </c>
      <c r="E27" s="12">
        <f t="shared" ref="E27:N27" si="4">E22*E17</f>
        <v>0</v>
      </c>
      <c r="F27" s="12">
        <f t="shared" si="4"/>
        <v>0</v>
      </c>
      <c r="G27" s="12">
        <f t="shared" si="4"/>
        <v>18000000</v>
      </c>
      <c r="H27" s="12">
        <f t="shared" si="4"/>
        <v>0</v>
      </c>
      <c r="I27" s="12">
        <f t="shared" si="4"/>
        <v>0</v>
      </c>
      <c r="J27" s="12">
        <f t="shared" si="4"/>
        <v>0</v>
      </c>
      <c r="K27" s="12">
        <f t="shared" si="4"/>
        <v>0</v>
      </c>
      <c r="L27" s="12">
        <f t="shared" si="4"/>
        <v>0</v>
      </c>
      <c r="M27" s="12">
        <f t="shared" si="4"/>
        <v>0</v>
      </c>
      <c r="N27" s="12">
        <f t="shared" si="4"/>
        <v>0</v>
      </c>
      <c r="O27" s="13">
        <f t="shared" ref="O27:O28" si="5">SUM(C27:N27)</f>
        <v>18000000</v>
      </c>
    </row>
    <row r="28" spans="2:19">
      <c r="B28" s="3" t="str">
        <f>+B23</f>
        <v>Frijol Caupí 50 kg</v>
      </c>
      <c r="C28" s="12">
        <f>C23*C18</f>
        <v>0</v>
      </c>
      <c r="D28" s="12">
        <f t="shared" si="3"/>
        <v>1000000</v>
      </c>
      <c r="E28" s="12">
        <f t="shared" si="3"/>
        <v>0</v>
      </c>
      <c r="F28" s="12">
        <f t="shared" si="3"/>
        <v>0</v>
      </c>
      <c r="G28" s="12">
        <f t="shared" si="3"/>
        <v>0</v>
      </c>
      <c r="H28" s="12">
        <f t="shared" si="3"/>
        <v>0</v>
      </c>
      <c r="I28" s="12">
        <f t="shared" si="3"/>
        <v>0</v>
      </c>
      <c r="J28" s="12">
        <f t="shared" si="3"/>
        <v>0</v>
      </c>
      <c r="K28" s="12">
        <f t="shared" si="3"/>
        <v>0</v>
      </c>
      <c r="L28" s="12">
        <f t="shared" si="3"/>
        <v>0</v>
      </c>
      <c r="M28" s="12">
        <f t="shared" si="3"/>
        <v>0</v>
      </c>
      <c r="N28" s="12">
        <f t="shared" si="3"/>
        <v>0</v>
      </c>
      <c r="O28" s="13">
        <f t="shared" si="5"/>
        <v>1000000</v>
      </c>
    </row>
    <row r="29" spans="2:19">
      <c r="B29" s="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</row>
    <row r="30" spans="2:19">
      <c r="B30" s="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2:19">
      <c r="B31" s="44" t="s">
        <v>223</v>
      </c>
      <c r="C31" s="83">
        <f>SUM(C27:C29)</f>
        <v>0</v>
      </c>
      <c r="D31" s="83">
        <f t="shared" ref="D31:N31" si="6">SUM(D27:D29)</f>
        <v>1000000</v>
      </c>
      <c r="E31" s="83">
        <f t="shared" si="6"/>
        <v>0</v>
      </c>
      <c r="F31" s="83">
        <f t="shared" si="6"/>
        <v>0</v>
      </c>
      <c r="G31" s="83">
        <f t="shared" si="6"/>
        <v>18000000</v>
      </c>
      <c r="H31" s="83">
        <f t="shared" si="6"/>
        <v>0</v>
      </c>
      <c r="I31" s="83">
        <f t="shared" si="6"/>
        <v>0</v>
      </c>
      <c r="J31" s="83">
        <f t="shared" si="6"/>
        <v>0</v>
      </c>
      <c r="K31" s="83">
        <f t="shared" si="6"/>
        <v>0</v>
      </c>
      <c r="L31" s="83">
        <f t="shared" si="6"/>
        <v>0</v>
      </c>
      <c r="M31" s="83">
        <f t="shared" si="6"/>
        <v>0</v>
      </c>
      <c r="N31" s="83">
        <f t="shared" si="6"/>
        <v>0</v>
      </c>
      <c r="O31" s="85">
        <f>SUM(C31:N31)</f>
        <v>19000000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36"/>
  <sheetViews>
    <sheetView showGridLines="0" topLeftCell="A9" workbookViewId="0">
      <selection activeCell="C23" sqref="C23"/>
    </sheetView>
  </sheetViews>
  <sheetFormatPr baseColWidth="10" defaultColWidth="11.42578125" defaultRowHeight="12.75"/>
  <cols>
    <col min="1" max="1" width="11.28515625" style="49" customWidth="1"/>
    <col min="2" max="2" width="32" style="49" customWidth="1"/>
    <col min="3" max="3" width="14.85546875" style="49" bestFit="1" customWidth="1"/>
    <col min="4" max="7" width="16.140625" style="49" bestFit="1" customWidth="1"/>
    <col min="8" max="8" width="12.5703125" style="49" bestFit="1" customWidth="1"/>
    <col min="9" max="9" width="14.7109375" style="49" customWidth="1"/>
    <col min="10" max="10" width="14" style="49" customWidth="1"/>
    <col min="11" max="16384" width="11.42578125" style="49"/>
  </cols>
  <sheetData>
    <row r="1" spans="2:9" ht="18">
      <c r="B1" s="147" t="str">
        <f>'COSTOS TOTALES'!B1:G1</f>
        <v>Modelo agrosostenible para la producción agrícola con el fin de promover la adaptación ante el cambio climático en el departamento de Bolívar. 
Cultivo de Yuca y Frijol Caupí</v>
      </c>
      <c r="F1" s="74"/>
      <c r="G1" s="148"/>
      <c r="H1" s="148"/>
    </row>
    <row r="2" spans="2:9" ht="15.75">
      <c r="B2" s="311" t="s">
        <v>113</v>
      </c>
      <c r="C2" s="311"/>
      <c r="D2" s="311"/>
      <c r="E2" s="311"/>
      <c r="F2" s="311"/>
      <c r="G2" s="311"/>
      <c r="H2" s="74"/>
      <c r="I2" s="74"/>
    </row>
    <row r="3" spans="2:9">
      <c r="B3" s="312" t="s">
        <v>114</v>
      </c>
      <c r="C3" s="312"/>
      <c r="D3" s="312"/>
      <c r="E3" s="312"/>
      <c r="F3" s="312"/>
      <c r="G3" s="312"/>
      <c r="H3" s="74"/>
      <c r="I3" s="74"/>
    </row>
    <row r="4" spans="2:9">
      <c r="B4" s="313" t="s">
        <v>115</v>
      </c>
      <c r="C4" s="314" t="s">
        <v>116</v>
      </c>
      <c r="D4" s="314"/>
      <c r="E4" s="314"/>
      <c r="F4" s="314"/>
      <c r="G4" s="314"/>
      <c r="H4" s="149"/>
    </row>
    <row r="5" spans="2:9">
      <c r="B5" s="313"/>
      <c r="C5" s="158" t="s">
        <v>32</v>
      </c>
      <c r="D5" s="158" t="s">
        <v>33</v>
      </c>
      <c r="E5" s="158" t="s">
        <v>34</v>
      </c>
      <c r="F5" s="158" t="s">
        <v>35</v>
      </c>
      <c r="G5" s="158" t="s">
        <v>36</v>
      </c>
      <c r="H5" s="74"/>
    </row>
    <row r="6" spans="2:9">
      <c r="B6" s="226"/>
      <c r="C6" s="88"/>
      <c r="D6" s="88"/>
      <c r="E6" s="88"/>
      <c r="F6" s="88"/>
      <c r="G6" s="88"/>
    </row>
    <row r="7" spans="2:9">
      <c r="B7" s="226" t="s">
        <v>117</v>
      </c>
      <c r="C7" s="150">
        <f>INGRESOS!C11</f>
        <v>19000000</v>
      </c>
      <c r="D7" s="150">
        <f>INGRESOS!D11</f>
        <v>19950000</v>
      </c>
      <c r="E7" s="150">
        <f>INGRESOS!E11</f>
        <v>20947500</v>
      </c>
      <c r="F7" s="150">
        <f>INGRESOS!F11</f>
        <v>21994875</v>
      </c>
      <c r="G7" s="150">
        <f>INGRESOS!G11</f>
        <v>23094618.75</v>
      </c>
    </row>
    <row r="8" spans="2:9">
      <c r="B8" s="226" t="s">
        <v>118</v>
      </c>
      <c r="C8" s="150">
        <f>'COSTOS TOTALES'!C23</f>
        <v>8764900</v>
      </c>
      <c r="D8" s="150">
        <f>'COSTOS TOTALES'!D23</f>
        <v>9203145</v>
      </c>
      <c r="E8" s="150">
        <f>'COSTOS TOTALES'!E23</f>
        <v>9663302.25</v>
      </c>
      <c r="F8" s="150">
        <f>'COSTOS TOTALES'!F23</f>
        <v>10146467.362500001</v>
      </c>
      <c r="G8" s="150">
        <f>'COSTOS TOTALES'!G23</f>
        <v>10653790.730625002</v>
      </c>
    </row>
    <row r="9" spans="2:9">
      <c r="B9" s="227"/>
      <c r="C9" s="88"/>
      <c r="D9" s="88"/>
      <c r="E9" s="88"/>
      <c r="F9" s="88"/>
      <c r="G9" s="88"/>
    </row>
    <row r="10" spans="2:9">
      <c r="B10" s="228" t="s">
        <v>119</v>
      </c>
      <c r="C10" s="151">
        <f>C7-C8</f>
        <v>10235100</v>
      </c>
      <c r="D10" s="151">
        <f t="shared" ref="D10:G10" si="0">D7-D8</f>
        <v>10746855</v>
      </c>
      <c r="E10" s="151">
        <f t="shared" si="0"/>
        <v>11284197.75</v>
      </c>
      <c r="F10" s="151">
        <f t="shared" si="0"/>
        <v>11848407.637499999</v>
      </c>
      <c r="G10" s="151">
        <f t="shared" si="0"/>
        <v>12440828.019374998</v>
      </c>
    </row>
    <row r="11" spans="2:9">
      <c r="B11" s="226"/>
      <c r="C11" s="88"/>
      <c r="D11" s="88"/>
      <c r="E11" s="88"/>
      <c r="F11" s="88"/>
      <c r="G11" s="88"/>
    </row>
    <row r="12" spans="2:9">
      <c r="B12" s="227" t="s">
        <v>120</v>
      </c>
      <c r="C12" s="91">
        <f>'COSTOS TOTALES'!C14</f>
        <v>1128000</v>
      </c>
      <c r="D12" s="91">
        <f>'COSTOS TOTALES'!D14</f>
        <v>1184400</v>
      </c>
      <c r="E12" s="91">
        <f>'COSTOS TOTALES'!E14</f>
        <v>1243620</v>
      </c>
      <c r="F12" s="91">
        <f>'COSTOS TOTALES'!F14</f>
        <v>1305801</v>
      </c>
      <c r="G12" s="91">
        <f>'COSTOS TOTALES'!G14</f>
        <v>1371091.05</v>
      </c>
    </row>
    <row r="13" spans="2:9">
      <c r="B13" s="227"/>
      <c r="C13" s="91"/>
      <c r="D13" s="91"/>
      <c r="E13" s="91"/>
      <c r="F13" s="91"/>
      <c r="G13" s="91"/>
    </row>
    <row r="14" spans="2:9">
      <c r="B14" s="227"/>
      <c r="C14" s="88"/>
      <c r="D14" s="88"/>
      <c r="E14" s="88"/>
      <c r="F14" s="88"/>
      <c r="G14" s="88"/>
    </row>
    <row r="15" spans="2:9">
      <c r="B15" s="228" t="s">
        <v>121</v>
      </c>
      <c r="C15" s="151">
        <f>C10-C12-C13</f>
        <v>9107100</v>
      </c>
      <c r="D15" s="151">
        <f t="shared" ref="D15:G15" si="1">D10-D12-D13</f>
        <v>9562455</v>
      </c>
      <c r="E15" s="151">
        <f t="shared" si="1"/>
        <v>10040577.75</v>
      </c>
      <c r="F15" s="151">
        <f t="shared" si="1"/>
        <v>10542606.637499999</v>
      </c>
      <c r="G15" s="151">
        <f t="shared" si="1"/>
        <v>11069736.969374998</v>
      </c>
    </row>
    <row r="16" spans="2:9">
      <c r="B16" s="226"/>
      <c r="C16" s="88"/>
      <c r="D16" s="88"/>
      <c r="E16" s="88"/>
      <c r="F16" s="88"/>
      <c r="G16" s="88"/>
    </row>
    <row r="17" spans="2:8">
      <c r="B17" s="229" t="s">
        <v>122</v>
      </c>
      <c r="C17" s="152">
        <v>0</v>
      </c>
      <c r="D17" s="152">
        <v>0</v>
      </c>
      <c r="E17" s="152">
        <v>0</v>
      </c>
      <c r="F17" s="152">
        <v>0</v>
      </c>
      <c r="G17" s="152">
        <v>0</v>
      </c>
    </row>
    <row r="18" spans="2:8">
      <c r="B18" s="229" t="s">
        <v>123</v>
      </c>
      <c r="C18" s="152">
        <v>0</v>
      </c>
      <c r="D18" s="152">
        <v>0</v>
      </c>
      <c r="E18" s="152">
        <v>0</v>
      </c>
      <c r="F18" s="152">
        <v>0</v>
      </c>
      <c r="G18" s="152">
        <v>0</v>
      </c>
    </row>
    <row r="19" spans="2:8">
      <c r="B19" s="229"/>
      <c r="C19" s="152"/>
      <c r="D19" s="152"/>
      <c r="E19" s="152"/>
      <c r="F19" s="152"/>
      <c r="G19" s="152"/>
    </row>
    <row r="20" spans="2:8">
      <c r="B20" s="229"/>
      <c r="C20" s="153"/>
      <c r="D20" s="153"/>
      <c r="E20" s="153"/>
      <c r="F20" s="153"/>
      <c r="G20" s="153"/>
    </row>
    <row r="21" spans="2:8">
      <c r="B21" s="228" t="s">
        <v>124</v>
      </c>
      <c r="C21" s="151">
        <f>C15-C18-C19-C17-C20</f>
        <v>9107100</v>
      </c>
      <c r="D21" s="151">
        <f>D15-D18-D19-D17-D20</f>
        <v>9562455</v>
      </c>
      <c r="E21" s="151">
        <f t="shared" ref="E21:G21" si="2">E15-E18-E19-E17-E20</f>
        <v>10040577.75</v>
      </c>
      <c r="F21" s="151">
        <f t="shared" si="2"/>
        <v>10542606.637499999</v>
      </c>
      <c r="G21" s="151">
        <f t="shared" si="2"/>
        <v>11069736.969374998</v>
      </c>
    </row>
    <row r="22" spans="2:8">
      <c r="B22" s="227"/>
      <c r="C22" s="88"/>
      <c r="D22" s="88"/>
      <c r="E22" s="88"/>
      <c r="F22" s="88"/>
      <c r="G22" s="88"/>
    </row>
    <row r="23" spans="2:8">
      <c r="B23" s="227"/>
      <c r="C23" s="91"/>
      <c r="D23" s="91"/>
      <c r="E23" s="91"/>
      <c r="F23" s="91"/>
      <c r="G23" s="91"/>
    </row>
    <row r="24" spans="2:8">
      <c r="B24" s="227"/>
      <c r="C24" s="91"/>
      <c r="D24" s="91"/>
      <c r="E24" s="91"/>
      <c r="F24" s="91"/>
      <c r="G24" s="91"/>
    </row>
    <row r="25" spans="2:8">
      <c r="B25" s="227"/>
      <c r="C25" s="88"/>
      <c r="D25" s="88"/>
      <c r="E25" s="88"/>
      <c r="F25" s="88"/>
      <c r="G25" s="88"/>
    </row>
    <row r="26" spans="2:8">
      <c r="B26" s="230" t="s">
        <v>125</v>
      </c>
      <c r="C26" s="159">
        <f>C21-C23-C24</f>
        <v>9107100</v>
      </c>
      <c r="D26" s="159">
        <f>D21-D23-D24</f>
        <v>9562455</v>
      </c>
      <c r="E26" s="159">
        <f>E21-E23-E24</f>
        <v>10040577.75</v>
      </c>
      <c r="F26" s="159">
        <f>F21-F23-F24</f>
        <v>10542606.637499999</v>
      </c>
      <c r="G26" s="159">
        <f>G21-G23-G24</f>
        <v>11069736.969374998</v>
      </c>
      <c r="H26" s="74"/>
    </row>
    <row r="27" spans="2:8">
      <c r="B27" s="9"/>
      <c r="C27" s="9"/>
      <c r="D27" s="9"/>
      <c r="E27" s="9"/>
      <c r="F27" s="9"/>
      <c r="G27" s="9"/>
    </row>
    <row r="28" spans="2:8">
      <c r="B28" s="9"/>
      <c r="C28" s="9"/>
      <c r="D28" s="9"/>
      <c r="E28" s="9"/>
      <c r="F28" s="9"/>
      <c r="G28" s="9"/>
      <c r="H28" s="74"/>
    </row>
    <row r="29" spans="2:8">
      <c r="B29" s="9" t="s">
        <v>126</v>
      </c>
      <c r="C29" s="231">
        <f>C8+C12+C17+C18+C19+C23+C24</f>
        <v>9892900</v>
      </c>
      <c r="D29" s="231">
        <f>D8+D12+D17+D18+D19+D23+D24</f>
        <v>10387545</v>
      </c>
      <c r="E29" s="231">
        <f>E8+E12+E17+E18+E19+E23+E24</f>
        <v>10906922.25</v>
      </c>
      <c r="F29" s="231">
        <f>F8+F12+F17+F18+F19+F23+F24</f>
        <v>11452268.362500001</v>
      </c>
      <c r="G29" s="231">
        <f>G8+G12+G17+G18+G19+G23+G24</f>
        <v>12024881.780625002</v>
      </c>
      <c r="H29" s="74"/>
    </row>
    <row r="30" spans="2:8">
      <c r="B30" s="49" t="s">
        <v>127</v>
      </c>
    </row>
    <row r="32" spans="2:8">
      <c r="C32" s="154"/>
      <c r="D32" s="154"/>
      <c r="E32" s="154"/>
      <c r="F32" s="154"/>
      <c r="G32" s="154"/>
    </row>
    <row r="33" spans="3:7">
      <c r="C33" s="155"/>
      <c r="D33" s="154"/>
      <c r="E33" s="154"/>
      <c r="F33" s="154"/>
      <c r="G33" s="154"/>
    </row>
    <row r="34" spans="3:7" ht="18">
      <c r="C34" s="156"/>
      <c r="D34" s="225"/>
      <c r="E34" s="225"/>
      <c r="F34" s="225"/>
      <c r="G34" s="225"/>
    </row>
    <row r="35" spans="3:7">
      <c r="C35" s="156"/>
      <c r="D35" s="156"/>
      <c r="E35" s="156"/>
      <c r="F35" s="156"/>
      <c r="G35" s="156"/>
    </row>
    <row r="36" spans="3:7">
      <c r="C36" s="157"/>
      <c r="D36" s="156"/>
      <c r="E36" s="156"/>
      <c r="F36" s="156"/>
      <c r="G36" s="156"/>
    </row>
  </sheetData>
  <mergeCells count="4">
    <mergeCell ref="B2:G2"/>
    <mergeCell ref="B3:G3"/>
    <mergeCell ref="B4:B5"/>
    <mergeCell ref="C4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49"/>
  <sheetViews>
    <sheetView showGridLines="0" topLeftCell="A12" workbookViewId="0">
      <selection activeCell="G31" sqref="G31"/>
    </sheetView>
  </sheetViews>
  <sheetFormatPr baseColWidth="10" defaultColWidth="12.5703125" defaultRowHeight="15"/>
  <cols>
    <col min="1" max="1" width="12.5703125" customWidth="1"/>
    <col min="2" max="2" width="11.140625" customWidth="1"/>
    <col min="3" max="3" width="13.5703125" customWidth="1"/>
    <col min="4" max="4" width="15.42578125" bestFit="1" customWidth="1"/>
    <col min="5" max="5" width="17.85546875" bestFit="1" customWidth="1"/>
    <col min="6" max="6" width="16.140625" customWidth="1"/>
    <col min="7" max="7" width="18.42578125" bestFit="1" customWidth="1"/>
    <col min="8" max="8" width="17.28515625" bestFit="1" customWidth="1"/>
    <col min="9" max="9" width="14.85546875" customWidth="1"/>
    <col min="10" max="10" width="21.85546875" bestFit="1" customWidth="1"/>
    <col min="12" max="12" width="28.85546875" bestFit="1" customWidth="1"/>
    <col min="257" max="257" width="12.5703125" customWidth="1"/>
    <col min="258" max="258" width="28.85546875" customWidth="1"/>
    <col min="259" max="259" width="13.42578125" bestFit="1" customWidth="1"/>
    <col min="260" max="260" width="15" bestFit="1" customWidth="1"/>
    <col min="261" max="261" width="15.85546875" customWidth="1"/>
    <col min="262" max="262" width="18.140625" customWidth="1"/>
    <col min="263" max="263" width="17.85546875" customWidth="1"/>
    <col min="264" max="264" width="15" bestFit="1" customWidth="1"/>
    <col min="265" max="265" width="11.7109375" bestFit="1" customWidth="1"/>
    <col min="266" max="266" width="13.140625" customWidth="1"/>
    <col min="268" max="268" width="28.85546875" bestFit="1" customWidth="1"/>
    <col min="513" max="513" width="12.5703125" customWidth="1"/>
    <col min="514" max="514" width="28.85546875" customWidth="1"/>
    <col min="515" max="515" width="13.42578125" bestFit="1" customWidth="1"/>
    <col min="516" max="516" width="15" bestFit="1" customWidth="1"/>
    <col min="517" max="517" width="15.85546875" customWidth="1"/>
    <col min="518" max="518" width="18.140625" customWidth="1"/>
    <col min="519" max="519" width="17.85546875" customWidth="1"/>
    <col min="520" max="520" width="15" bestFit="1" customWidth="1"/>
    <col min="521" max="521" width="11.7109375" bestFit="1" customWidth="1"/>
    <col min="522" max="522" width="13.140625" customWidth="1"/>
    <col min="524" max="524" width="28.85546875" bestFit="1" customWidth="1"/>
    <col min="769" max="769" width="12.5703125" customWidth="1"/>
    <col min="770" max="770" width="28.85546875" customWidth="1"/>
    <col min="771" max="771" width="13.42578125" bestFit="1" customWidth="1"/>
    <col min="772" max="772" width="15" bestFit="1" customWidth="1"/>
    <col min="773" max="773" width="15.85546875" customWidth="1"/>
    <col min="774" max="774" width="18.140625" customWidth="1"/>
    <col min="775" max="775" width="17.85546875" customWidth="1"/>
    <col min="776" max="776" width="15" bestFit="1" customWidth="1"/>
    <col min="777" max="777" width="11.7109375" bestFit="1" customWidth="1"/>
    <col min="778" max="778" width="13.140625" customWidth="1"/>
    <col min="780" max="780" width="28.85546875" bestFit="1" customWidth="1"/>
    <col min="1025" max="1025" width="12.5703125" customWidth="1"/>
    <col min="1026" max="1026" width="28.85546875" customWidth="1"/>
    <col min="1027" max="1027" width="13.42578125" bestFit="1" customWidth="1"/>
    <col min="1028" max="1028" width="15" bestFit="1" customWidth="1"/>
    <col min="1029" max="1029" width="15.85546875" customWidth="1"/>
    <col min="1030" max="1030" width="18.140625" customWidth="1"/>
    <col min="1031" max="1031" width="17.85546875" customWidth="1"/>
    <col min="1032" max="1032" width="15" bestFit="1" customWidth="1"/>
    <col min="1033" max="1033" width="11.7109375" bestFit="1" customWidth="1"/>
    <col min="1034" max="1034" width="13.140625" customWidth="1"/>
    <col min="1036" max="1036" width="28.85546875" bestFit="1" customWidth="1"/>
    <col min="1281" max="1281" width="12.5703125" customWidth="1"/>
    <col min="1282" max="1282" width="28.85546875" customWidth="1"/>
    <col min="1283" max="1283" width="13.42578125" bestFit="1" customWidth="1"/>
    <col min="1284" max="1284" width="15" bestFit="1" customWidth="1"/>
    <col min="1285" max="1285" width="15.85546875" customWidth="1"/>
    <col min="1286" max="1286" width="18.140625" customWidth="1"/>
    <col min="1287" max="1287" width="17.85546875" customWidth="1"/>
    <col min="1288" max="1288" width="15" bestFit="1" customWidth="1"/>
    <col min="1289" max="1289" width="11.7109375" bestFit="1" customWidth="1"/>
    <col min="1290" max="1290" width="13.140625" customWidth="1"/>
    <col min="1292" max="1292" width="28.85546875" bestFit="1" customWidth="1"/>
    <col min="1537" max="1537" width="12.5703125" customWidth="1"/>
    <col min="1538" max="1538" width="28.85546875" customWidth="1"/>
    <col min="1539" max="1539" width="13.42578125" bestFit="1" customWidth="1"/>
    <col min="1540" max="1540" width="15" bestFit="1" customWidth="1"/>
    <col min="1541" max="1541" width="15.85546875" customWidth="1"/>
    <col min="1542" max="1542" width="18.140625" customWidth="1"/>
    <col min="1543" max="1543" width="17.85546875" customWidth="1"/>
    <col min="1544" max="1544" width="15" bestFit="1" customWidth="1"/>
    <col min="1545" max="1545" width="11.7109375" bestFit="1" customWidth="1"/>
    <col min="1546" max="1546" width="13.140625" customWidth="1"/>
    <col min="1548" max="1548" width="28.85546875" bestFit="1" customWidth="1"/>
    <col min="1793" max="1793" width="12.5703125" customWidth="1"/>
    <col min="1794" max="1794" width="28.85546875" customWidth="1"/>
    <col min="1795" max="1795" width="13.42578125" bestFit="1" customWidth="1"/>
    <col min="1796" max="1796" width="15" bestFit="1" customWidth="1"/>
    <col min="1797" max="1797" width="15.85546875" customWidth="1"/>
    <col min="1798" max="1798" width="18.140625" customWidth="1"/>
    <col min="1799" max="1799" width="17.85546875" customWidth="1"/>
    <col min="1800" max="1800" width="15" bestFit="1" customWidth="1"/>
    <col min="1801" max="1801" width="11.7109375" bestFit="1" customWidth="1"/>
    <col min="1802" max="1802" width="13.140625" customWidth="1"/>
    <col min="1804" max="1804" width="28.85546875" bestFit="1" customWidth="1"/>
    <col min="2049" max="2049" width="12.5703125" customWidth="1"/>
    <col min="2050" max="2050" width="28.85546875" customWidth="1"/>
    <col min="2051" max="2051" width="13.42578125" bestFit="1" customWidth="1"/>
    <col min="2052" max="2052" width="15" bestFit="1" customWidth="1"/>
    <col min="2053" max="2053" width="15.85546875" customWidth="1"/>
    <col min="2054" max="2054" width="18.140625" customWidth="1"/>
    <col min="2055" max="2055" width="17.85546875" customWidth="1"/>
    <col min="2056" max="2056" width="15" bestFit="1" customWidth="1"/>
    <col min="2057" max="2057" width="11.7109375" bestFit="1" customWidth="1"/>
    <col min="2058" max="2058" width="13.140625" customWidth="1"/>
    <col min="2060" max="2060" width="28.85546875" bestFit="1" customWidth="1"/>
    <col min="2305" max="2305" width="12.5703125" customWidth="1"/>
    <col min="2306" max="2306" width="28.85546875" customWidth="1"/>
    <col min="2307" max="2307" width="13.42578125" bestFit="1" customWidth="1"/>
    <col min="2308" max="2308" width="15" bestFit="1" customWidth="1"/>
    <col min="2309" max="2309" width="15.85546875" customWidth="1"/>
    <col min="2310" max="2310" width="18.140625" customWidth="1"/>
    <col min="2311" max="2311" width="17.85546875" customWidth="1"/>
    <col min="2312" max="2312" width="15" bestFit="1" customWidth="1"/>
    <col min="2313" max="2313" width="11.7109375" bestFit="1" customWidth="1"/>
    <col min="2314" max="2314" width="13.140625" customWidth="1"/>
    <col min="2316" max="2316" width="28.85546875" bestFit="1" customWidth="1"/>
    <col min="2561" max="2561" width="12.5703125" customWidth="1"/>
    <col min="2562" max="2562" width="28.85546875" customWidth="1"/>
    <col min="2563" max="2563" width="13.42578125" bestFit="1" customWidth="1"/>
    <col min="2564" max="2564" width="15" bestFit="1" customWidth="1"/>
    <col min="2565" max="2565" width="15.85546875" customWidth="1"/>
    <col min="2566" max="2566" width="18.140625" customWidth="1"/>
    <col min="2567" max="2567" width="17.85546875" customWidth="1"/>
    <col min="2568" max="2568" width="15" bestFit="1" customWidth="1"/>
    <col min="2569" max="2569" width="11.7109375" bestFit="1" customWidth="1"/>
    <col min="2570" max="2570" width="13.140625" customWidth="1"/>
    <col min="2572" max="2572" width="28.85546875" bestFit="1" customWidth="1"/>
    <col min="2817" max="2817" width="12.5703125" customWidth="1"/>
    <col min="2818" max="2818" width="28.85546875" customWidth="1"/>
    <col min="2819" max="2819" width="13.42578125" bestFit="1" customWidth="1"/>
    <col min="2820" max="2820" width="15" bestFit="1" customWidth="1"/>
    <col min="2821" max="2821" width="15.85546875" customWidth="1"/>
    <col min="2822" max="2822" width="18.140625" customWidth="1"/>
    <col min="2823" max="2823" width="17.85546875" customWidth="1"/>
    <col min="2824" max="2824" width="15" bestFit="1" customWidth="1"/>
    <col min="2825" max="2825" width="11.7109375" bestFit="1" customWidth="1"/>
    <col min="2826" max="2826" width="13.140625" customWidth="1"/>
    <col min="2828" max="2828" width="28.85546875" bestFit="1" customWidth="1"/>
    <col min="3073" max="3073" width="12.5703125" customWidth="1"/>
    <col min="3074" max="3074" width="28.85546875" customWidth="1"/>
    <col min="3075" max="3075" width="13.42578125" bestFit="1" customWidth="1"/>
    <col min="3076" max="3076" width="15" bestFit="1" customWidth="1"/>
    <col min="3077" max="3077" width="15.85546875" customWidth="1"/>
    <col min="3078" max="3078" width="18.140625" customWidth="1"/>
    <col min="3079" max="3079" width="17.85546875" customWidth="1"/>
    <col min="3080" max="3080" width="15" bestFit="1" customWidth="1"/>
    <col min="3081" max="3081" width="11.7109375" bestFit="1" customWidth="1"/>
    <col min="3082" max="3082" width="13.140625" customWidth="1"/>
    <col min="3084" max="3084" width="28.85546875" bestFit="1" customWidth="1"/>
    <col min="3329" max="3329" width="12.5703125" customWidth="1"/>
    <col min="3330" max="3330" width="28.85546875" customWidth="1"/>
    <col min="3331" max="3331" width="13.42578125" bestFit="1" customWidth="1"/>
    <col min="3332" max="3332" width="15" bestFit="1" customWidth="1"/>
    <col min="3333" max="3333" width="15.85546875" customWidth="1"/>
    <col min="3334" max="3334" width="18.140625" customWidth="1"/>
    <col min="3335" max="3335" width="17.85546875" customWidth="1"/>
    <col min="3336" max="3336" width="15" bestFit="1" customWidth="1"/>
    <col min="3337" max="3337" width="11.7109375" bestFit="1" customWidth="1"/>
    <col min="3338" max="3338" width="13.140625" customWidth="1"/>
    <col min="3340" max="3340" width="28.85546875" bestFit="1" customWidth="1"/>
    <col min="3585" max="3585" width="12.5703125" customWidth="1"/>
    <col min="3586" max="3586" width="28.85546875" customWidth="1"/>
    <col min="3587" max="3587" width="13.42578125" bestFit="1" customWidth="1"/>
    <col min="3588" max="3588" width="15" bestFit="1" customWidth="1"/>
    <col min="3589" max="3589" width="15.85546875" customWidth="1"/>
    <col min="3590" max="3590" width="18.140625" customWidth="1"/>
    <col min="3591" max="3591" width="17.85546875" customWidth="1"/>
    <col min="3592" max="3592" width="15" bestFit="1" customWidth="1"/>
    <col min="3593" max="3593" width="11.7109375" bestFit="1" customWidth="1"/>
    <col min="3594" max="3594" width="13.140625" customWidth="1"/>
    <col min="3596" max="3596" width="28.85546875" bestFit="1" customWidth="1"/>
    <col min="3841" max="3841" width="12.5703125" customWidth="1"/>
    <col min="3842" max="3842" width="28.85546875" customWidth="1"/>
    <col min="3843" max="3843" width="13.42578125" bestFit="1" customWidth="1"/>
    <col min="3844" max="3844" width="15" bestFit="1" customWidth="1"/>
    <col min="3845" max="3845" width="15.85546875" customWidth="1"/>
    <col min="3846" max="3846" width="18.140625" customWidth="1"/>
    <col min="3847" max="3847" width="17.85546875" customWidth="1"/>
    <col min="3848" max="3848" width="15" bestFit="1" customWidth="1"/>
    <col min="3849" max="3849" width="11.7109375" bestFit="1" customWidth="1"/>
    <col min="3850" max="3850" width="13.140625" customWidth="1"/>
    <col min="3852" max="3852" width="28.85546875" bestFit="1" customWidth="1"/>
    <col min="4097" max="4097" width="12.5703125" customWidth="1"/>
    <col min="4098" max="4098" width="28.85546875" customWidth="1"/>
    <col min="4099" max="4099" width="13.42578125" bestFit="1" customWidth="1"/>
    <col min="4100" max="4100" width="15" bestFit="1" customWidth="1"/>
    <col min="4101" max="4101" width="15.85546875" customWidth="1"/>
    <col min="4102" max="4102" width="18.140625" customWidth="1"/>
    <col min="4103" max="4103" width="17.85546875" customWidth="1"/>
    <col min="4104" max="4104" width="15" bestFit="1" customWidth="1"/>
    <col min="4105" max="4105" width="11.7109375" bestFit="1" customWidth="1"/>
    <col min="4106" max="4106" width="13.140625" customWidth="1"/>
    <col min="4108" max="4108" width="28.85546875" bestFit="1" customWidth="1"/>
    <col min="4353" max="4353" width="12.5703125" customWidth="1"/>
    <col min="4354" max="4354" width="28.85546875" customWidth="1"/>
    <col min="4355" max="4355" width="13.42578125" bestFit="1" customWidth="1"/>
    <col min="4356" max="4356" width="15" bestFit="1" customWidth="1"/>
    <col min="4357" max="4357" width="15.85546875" customWidth="1"/>
    <col min="4358" max="4358" width="18.140625" customWidth="1"/>
    <col min="4359" max="4359" width="17.85546875" customWidth="1"/>
    <col min="4360" max="4360" width="15" bestFit="1" customWidth="1"/>
    <col min="4361" max="4361" width="11.7109375" bestFit="1" customWidth="1"/>
    <col min="4362" max="4362" width="13.140625" customWidth="1"/>
    <col min="4364" max="4364" width="28.85546875" bestFit="1" customWidth="1"/>
    <col min="4609" max="4609" width="12.5703125" customWidth="1"/>
    <col min="4610" max="4610" width="28.85546875" customWidth="1"/>
    <col min="4611" max="4611" width="13.42578125" bestFit="1" customWidth="1"/>
    <col min="4612" max="4612" width="15" bestFit="1" customWidth="1"/>
    <col min="4613" max="4613" width="15.85546875" customWidth="1"/>
    <col min="4614" max="4614" width="18.140625" customWidth="1"/>
    <col min="4615" max="4615" width="17.85546875" customWidth="1"/>
    <col min="4616" max="4616" width="15" bestFit="1" customWidth="1"/>
    <col min="4617" max="4617" width="11.7109375" bestFit="1" customWidth="1"/>
    <col min="4618" max="4618" width="13.140625" customWidth="1"/>
    <col min="4620" max="4620" width="28.85546875" bestFit="1" customWidth="1"/>
    <col min="4865" max="4865" width="12.5703125" customWidth="1"/>
    <col min="4866" max="4866" width="28.85546875" customWidth="1"/>
    <col min="4867" max="4867" width="13.42578125" bestFit="1" customWidth="1"/>
    <col min="4868" max="4868" width="15" bestFit="1" customWidth="1"/>
    <col min="4869" max="4869" width="15.85546875" customWidth="1"/>
    <col min="4870" max="4870" width="18.140625" customWidth="1"/>
    <col min="4871" max="4871" width="17.85546875" customWidth="1"/>
    <col min="4872" max="4872" width="15" bestFit="1" customWidth="1"/>
    <col min="4873" max="4873" width="11.7109375" bestFit="1" customWidth="1"/>
    <col min="4874" max="4874" width="13.140625" customWidth="1"/>
    <col min="4876" max="4876" width="28.85546875" bestFit="1" customWidth="1"/>
    <col min="5121" max="5121" width="12.5703125" customWidth="1"/>
    <col min="5122" max="5122" width="28.85546875" customWidth="1"/>
    <col min="5123" max="5123" width="13.42578125" bestFit="1" customWidth="1"/>
    <col min="5124" max="5124" width="15" bestFit="1" customWidth="1"/>
    <col min="5125" max="5125" width="15.85546875" customWidth="1"/>
    <col min="5126" max="5126" width="18.140625" customWidth="1"/>
    <col min="5127" max="5127" width="17.85546875" customWidth="1"/>
    <col min="5128" max="5128" width="15" bestFit="1" customWidth="1"/>
    <col min="5129" max="5129" width="11.7109375" bestFit="1" customWidth="1"/>
    <col min="5130" max="5130" width="13.140625" customWidth="1"/>
    <col min="5132" max="5132" width="28.85546875" bestFit="1" customWidth="1"/>
    <col min="5377" max="5377" width="12.5703125" customWidth="1"/>
    <col min="5378" max="5378" width="28.85546875" customWidth="1"/>
    <col min="5379" max="5379" width="13.42578125" bestFit="1" customWidth="1"/>
    <col min="5380" max="5380" width="15" bestFit="1" customWidth="1"/>
    <col min="5381" max="5381" width="15.85546875" customWidth="1"/>
    <col min="5382" max="5382" width="18.140625" customWidth="1"/>
    <col min="5383" max="5383" width="17.85546875" customWidth="1"/>
    <col min="5384" max="5384" width="15" bestFit="1" customWidth="1"/>
    <col min="5385" max="5385" width="11.7109375" bestFit="1" customWidth="1"/>
    <col min="5386" max="5386" width="13.140625" customWidth="1"/>
    <col min="5388" max="5388" width="28.85546875" bestFit="1" customWidth="1"/>
    <col min="5633" max="5633" width="12.5703125" customWidth="1"/>
    <col min="5634" max="5634" width="28.85546875" customWidth="1"/>
    <col min="5635" max="5635" width="13.42578125" bestFit="1" customWidth="1"/>
    <col min="5636" max="5636" width="15" bestFit="1" customWidth="1"/>
    <col min="5637" max="5637" width="15.85546875" customWidth="1"/>
    <col min="5638" max="5638" width="18.140625" customWidth="1"/>
    <col min="5639" max="5639" width="17.85546875" customWidth="1"/>
    <col min="5640" max="5640" width="15" bestFit="1" customWidth="1"/>
    <col min="5641" max="5641" width="11.7109375" bestFit="1" customWidth="1"/>
    <col min="5642" max="5642" width="13.140625" customWidth="1"/>
    <col min="5644" max="5644" width="28.85546875" bestFit="1" customWidth="1"/>
    <col min="5889" max="5889" width="12.5703125" customWidth="1"/>
    <col min="5890" max="5890" width="28.85546875" customWidth="1"/>
    <col min="5891" max="5891" width="13.42578125" bestFit="1" customWidth="1"/>
    <col min="5892" max="5892" width="15" bestFit="1" customWidth="1"/>
    <col min="5893" max="5893" width="15.85546875" customWidth="1"/>
    <col min="5894" max="5894" width="18.140625" customWidth="1"/>
    <col min="5895" max="5895" width="17.85546875" customWidth="1"/>
    <col min="5896" max="5896" width="15" bestFit="1" customWidth="1"/>
    <col min="5897" max="5897" width="11.7109375" bestFit="1" customWidth="1"/>
    <col min="5898" max="5898" width="13.140625" customWidth="1"/>
    <col min="5900" max="5900" width="28.85546875" bestFit="1" customWidth="1"/>
    <col min="6145" max="6145" width="12.5703125" customWidth="1"/>
    <col min="6146" max="6146" width="28.85546875" customWidth="1"/>
    <col min="6147" max="6147" width="13.42578125" bestFit="1" customWidth="1"/>
    <col min="6148" max="6148" width="15" bestFit="1" customWidth="1"/>
    <col min="6149" max="6149" width="15.85546875" customWidth="1"/>
    <col min="6150" max="6150" width="18.140625" customWidth="1"/>
    <col min="6151" max="6151" width="17.85546875" customWidth="1"/>
    <col min="6152" max="6152" width="15" bestFit="1" customWidth="1"/>
    <col min="6153" max="6153" width="11.7109375" bestFit="1" customWidth="1"/>
    <col min="6154" max="6154" width="13.140625" customWidth="1"/>
    <col min="6156" max="6156" width="28.85546875" bestFit="1" customWidth="1"/>
    <col min="6401" max="6401" width="12.5703125" customWidth="1"/>
    <col min="6402" max="6402" width="28.85546875" customWidth="1"/>
    <col min="6403" max="6403" width="13.42578125" bestFit="1" customWidth="1"/>
    <col min="6404" max="6404" width="15" bestFit="1" customWidth="1"/>
    <col min="6405" max="6405" width="15.85546875" customWidth="1"/>
    <col min="6406" max="6406" width="18.140625" customWidth="1"/>
    <col min="6407" max="6407" width="17.85546875" customWidth="1"/>
    <col min="6408" max="6408" width="15" bestFit="1" customWidth="1"/>
    <col min="6409" max="6409" width="11.7109375" bestFit="1" customWidth="1"/>
    <col min="6410" max="6410" width="13.140625" customWidth="1"/>
    <col min="6412" max="6412" width="28.85546875" bestFit="1" customWidth="1"/>
    <col min="6657" max="6657" width="12.5703125" customWidth="1"/>
    <col min="6658" max="6658" width="28.85546875" customWidth="1"/>
    <col min="6659" max="6659" width="13.42578125" bestFit="1" customWidth="1"/>
    <col min="6660" max="6660" width="15" bestFit="1" customWidth="1"/>
    <col min="6661" max="6661" width="15.85546875" customWidth="1"/>
    <col min="6662" max="6662" width="18.140625" customWidth="1"/>
    <col min="6663" max="6663" width="17.85546875" customWidth="1"/>
    <col min="6664" max="6664" width="15" bestFit="1" customWidth="1"/>
    <col min="6665" max="6665" width="11.7109375" bestFit="1" customWidth="1"/>
    <col min="6666" max="6666" width="13.140625" customWidth="1"/>
    <col min="6668" max="6668" width="28.85546875" bestFit="1" customWidth="1"/>
    <col min="6913" max="6913" width="12.5703125" customWidth="1"/>
    <col min="6914" max="6914" width="28.85546875" customWidth="1"/>
    <col min="6915" max="6915" width="13.42578125" bestFit="1" customWidth="1"/>
    <col min="6916" max="6916" width="15" bestFit="1" customWidth="1"/>
    <col min="6917" max="6917" width="15.85546875" customWidth="1"/>
    <col min="6918" max="6918" width="18.140625" customWidth="1"/>
    <col min="6919" max="6919" width="17.85546875" customWidth="1"/>
    <col min="6920" max="6920" width="15" bestFit="1" customWidth="1"/>
    <col min="6921" max="6921" width="11.7109375" bestFit="1" customWidth="1"/>
    <col min="6922" max="6922" width="13.140625" customWidth="1"/>
    <col min="6924" max="6924" width="28.85546875" bestFit="1" customWidth="1"/>
    <col min="7169" max="7169" width="12.5703125" customWidth="1"/>
    <col min="7170" max="7170" width="28.85546875" customWidth="1"/>
    <col min="7171" max="7171" width="13.42578125" bestFit="1" customWidth="1"/>
    <col min="7172" max="7172" width="15" bestFit="1" customWidth="1"/>
    <col min="7173" max="7173" width="15.85546875" customWidth="1"/>
    <col min="7174" max="7174" width="18.140625" customWidth="1"/>
    <col min="7175" max="7175" width="17.85546875" customWidth="1"/>
    <col min="7176" max="7176" width="15" bestFit="1" customWidth="1"/>
    <col min="7177" max="7177" width="11.7109375" bestFit="1" customWidth="1"/>
    <col min="7178" max="7178" width="13.140625" customWidth="1"/>
    <col min="7180" max="7180" width="28.85546875" bestFit="1" customWidth="1"/>
    <col min="7425" max="7425" width="12.5703125" customWidth="1"/>
    <col min="7426" max="7426" width="28.85546875" customWidth="1"/>
    <col min="7427" max="7427" width="13.42578125" bestFit="1" customWidth="1"/>
    <col min="7428" max="7428" width="15" bestFit="1" customWidth="1"/>
    <col min="7429" max="7429" width="15.85546875" customWidth="1"/>
    <col min="7430" max="7430" width="18.140625" customWidth="1"/>
    <col min="7431" max="7431" width="17.85546875" customWidth="1"/>
    <col min="7432" max="7432" width="15" bestFit="1" customWidth="1"/>
    <col min="7433" max="7433" width="11.7109375" bestFit="1" customWidth="1"/>
    <col min="7434" max="7434" width="13.140625" customWidth="1"/>
    <col min="7436" max="7436" width="28.85546875" bestFit="1" customWidth="1"/>
    <col min="7681" max="7681" width="12.5703125" customWidth="1"/>
    <col min="7682" max="7682" width="28.85546875" customWidth="1"/>
    <col min="7683" max="7683" width="13.42578125" bestFit="1" customWidth="1"/>
    <col min="7684" max="7684" width="15" bestFit="1" customWidth="1"/>
    <col min="7685" max="7685" width="15.85546875" customWidth="1"/>
    <col min="7686" max="7686" width="18.140625" customWidth="1"/>
    <col min="7687" max="7687" width="17.85546875" customWidth="1"/>
    <col min="7688" max="7688" width="15" bestFit="1" customWidth="1"/>
    <col min="7689" max="7689" width="11.7109375" bestFit="1" customWidth="1"/>
    <col min="7690" max="7690" width="13.140625" customWidth="1"/>
    <col min="7692" max="7692" width="28.85546875" bestFit="1" customWidth="1"/>
    <col min="7937" max="7937" width="12.5703125" customWidth="1"/>
    <col min="7938" max="7938" width="28.85546875" customWidth="1"/>
    <col min="7939" max="7939" width="13.42578125" bestFit="1" customWidth="1"/>
    <col min="7940" max="7940" width="15" bestFit="1" customWidth="1"/>
    <col min="7941" max="7941" width="15.85546875" customWidth="1"/>
    <col min="7942" max="7942" width="18.140625" customWidth="1"/>
    <col min="7943" max="7943" width="17.85546875" customWidth="1"/>
    <col min="7944" max="7944" width="15" bestFit="1" customWidth="1"/>
    <col min="7945" max="7945" width="11.7109375" bestFit="1" customWidth="1"/>
    <col min="7946" max="7946" width="13.140625" customWidth="1"/>
    <col min="7948" max="7948" width="28.85546875" bestFit="1" customWidth="1"/>
    <col min="8193" max="8193" width="12.5703125" customWidth="1"/>
    <col min="8194" max="8194" width="28.85546875" customWidth="1"/>
    <col min="8195" max="8195" width="13.42578125" bestFit="1" customWidth="1"/>
    <col min="8196" max="8196" width="15" bestFit="1" customWidth="1"/>
    <col min="8197" max="8197" width="15.85546875" customWidth="1"/>
    <col min="8198" max="8198" width="18.140625" customWidth="1"/>
    <col min="8199" max="8199" width="17.85546875" customWidth="1"/>
    <col min="8200" max="8200" width="15" bestFit="1" customWidth="1"/>
    <col min="8201" max="8201" width="11.7109375" bestFit="1" customWidth="1"/>
    <col min="8202" max="8202" width="13.140625" customWidth="1"/>
    <col min="8204" max="8204" width="28.85546875" bestFit="1" customWidth="1"/>
    <col min="8449" max="8449" width="12.5703125" customWidth="1"/>
    <col min="8450" max="8450" width="28.85546875" customWidth="1"/>
    <col min="8451" max="8451" width="13.42578125" bestFit="1" customWidth="1"/>
    <col min="8452" max="8452" width="15" bestFit="1" customWidth="1"/>
    <col min="8453" max="8453" width="15.85546875" customWidth="1"/>
    <col min="8454" max="8454" width="18.140625" customWidth="1"/>
    <col min="8455" max="8455" width="17.85546875" customWidth="1"/>
    <col min="8456" max="8456" width="15" bestFit="1" customWidth="1"/>
    <col min="8457" max="8457" width="11.7109375" bestFit="1" customWidth="1"/>
    <col min="8458" max="8458" width="13.140625" customWidth="1"/>
    <col min="8460" max="8460" width="28.85546875" bestFit="1" customWidth="1"/>
    <col min="8705" max="8705" width="12.5703125" customWidth="1"/>
    <col min="8706" max="8706" width="28.85546875" customWidth="1"/>
    <col min="8707" max="8707" width="13.42578125" bestFit="1" customWidth="1"/>
    <col min="8708" max="8708" width="15" bestFit="1" customWidth="1"/>
    <col min="8709" max="8709" width="15.85546875" customWidth="1"/>
    <col min="8710" max="8710" width="18.140625" customWidth="1"/>
    <col min="8711" max="8711" width="17.85546875" customWidth="1"/>
    <col min="8712" max="8712" width="15" bestFit="1" customWidth="1"/>
    <col min="8713" max="8713" width="11.7109375" bestFit="1" customWidth="1"/>
    <col min="8714" max="8714" width="13.140625" customWidth="1"/>
    <col min="8716" max="8716" width="28.85546875" bestFit="1" customWidth="1"/>
    <col min="8961" max="8961" width="12.5703125" customWidth="1"/>
    <col min="8962" max="8962" width="28.85546875" customWidth="1"/>
    <col min="8963" max="8963" width="13.42578125" bestFit="1" customWidth="1"/>
    <col min="8964" max="8964" width="15" bestFit="1" customWidth="1"/>
    <col min="8965" max="8965" width="15.85546875" customWidth="1"/>
    <col min="8966" max="8966" width="18.140625" customWidth="1"/>
    <col min="8967" max="8967" width="17.85546875" customWidth="1"/>
    <col min="8968" max="8968" width="15" bestFit="1" customWidth="1"/>
    <col min="8969" max="8969" width="11.7109375" bestFit="1" customWidth="1"/>
    <col min="8970" max="8970" width="13.140625" customWidth="1"/>
    <col min="8972" max="8972" width="28.85546875" bestFit="1" customWidth="1"/>
    <col min="9217" max="9217" width="12.5703125" customWidth="1"/>
    <col min="9218" max="9218" width="28.85546875" customWidth="1"/>
    <col min="9219" max="9219" width="13.42578125" bestFit="1" customWidth="1"/>
    <col min="9220" max="9220" width="15" bestFit="1" customWidth="1"/>
    <col min="9221" max="9221" width="15.85546875" customWidth="1"/>
    <col min="9222" max="9222" width="18.140625" customWidth="1"/>
    <col min="9223" max="9223" width="17.85546875" customWidth="1"/>
    <col min="9224" max="9224" width="15" bestFit="1" customWidth="1"/>
    <col min="9225" max="9225" width="11.7109375" bestFit="1" customWidth="1"/>
    <col min="9226" max="9226" width="13.140625" customWidth="1"/>
    <col min="9228" max="9228" width="28.85546875" bestFit="1" customWidth="1"/>
    <col min="9473" max="9473" width="12.5703125" customWidth="1"/>
    <col min="9474" max="9474" width="28.85546875" customWidth="1"/>
    <col min="9475" max="9475" width="13.42578125" bestFit="1" customWidth="1"/>
    <col min="9476" max="9476" width="15" bestFit="1" customWidth="1"/>
    <col min="9477" max="9477" width="15.85546875" customWidth="1"/>
    <col min="9478" max="9478" width="18.140625" customWidth="1"/>
    <col min="9479" max="9479" width="17.85546875" customWidth="1"/>
    <col min="9480" max="9480" width="15" bestFit="1" customWidth="1"/>
    <col min="9481" max="9481" width="11.7109375" bestFit="1" customWidth="1"/>
    <col min="9482" max="9482" width="13.140625" customWidth="1"/>
    <col min="9484" max="9484" width="28.85546875" bestFit="1" customWidth="1"/>
    <col min="9729" max="9729" width="12.5703125" customWidth="1"/>
    <col min="9730" max="9730" width="28.85546875" customWidth="1"/>
    <col min="9731" max="9731" width="13.42578125" bestFit="1" customWidth="1"/>
    <col min="9732" max="9732" width="15" bestFit="1" customWidth="1"/>
    <col min="9733" max="9733" width="15.85546875" customWidth="1"/>
    <col min="9734" max="9734" width="18.140625" customWidth="1"/>
    <col min="9735" max="9735" width="17.85546875" customWidth="1"/>
    <col min="9736" max="9736" width="15" bestFit="1" customWidth="1"/>
    <col min="9737" max="9737" width="11.7109375" bestFit="1" customWidth="1"/>
    <col min="9738" max="9738" width="13.140625" customWidth="1"/>
    <col min="9740" max="9740" width="28.85546875" bestFit="1" customWidth="1"/>
    <col min="9985" max="9985" width="12.5703125" customWidth="1"/>
    <col min="9986" max="9986" width="28.85546875" customWidth="1"/>
    <col min="9987" max="9987" width="13.42578125" bestFit="1" customWidth="1"/>
    <col min="9988" max="9988" width="15" bestFit="1" customWidth="1"/>
    <col min="9989" max="9989" width="15.85546875" customWidth="1"/>
    <col min="9990" max="9990" width="18.140625" customWidth="1"/>
    <col min="9991" max="9991" width="17.85546875" customWidth="1"/>
    <col min="9992" max="9992" width="15" bestFit="1" customWidth="1"/>
    <col min="9993" max="9993" width="11.7109375" bestFit="1" customWidth="1"/>
    <col min="9994" max="9994" width="13.140625" customWidth="1"/>
    <col min="9996" max="9996" width="28.85546875" bestFit="1" customWidth="1"/>
    <col min="10241" max="10241" width="12.5703125" customWidth="1"/>
    <col min="10242" max="10242" width="28.85546875" customWidth="1"/>
    <col min="10243" max="10243" width="13.42578125" bestFit="1" customWidth="1"/>
    <col min="10244" max="10244" width="15" bestFit="1" customWidth="1"/>
    <col min="10245" max="10245" width="15.85546875" customWidth="1"/>
    <col min="10246" max="10246" width="18.140625" customWidth="1"/>
    <col min="10247" max="10247" width="17.85546875" customWidth="1"/>
    <col min="10248" max="10248" width="15" bestFit="1" customWidth="1"/>
    <col min="10249" max="10249" width="11.7109375" bestFit="1" customWidth="1"/>
    <col min="10250" max="10250" width="13.140625" customWidth="1"/>
    <col min="10252" max="10252" width="28.85546875" bestFit="1" customWidth="1"/>
    <col min="10497" max="10497" width="12.5703125" customWidth="1"/>
    <col min="10498" max="10498" width="28.85546875" customWidth="1"/>
    <col min="10499" max="10499" width="13.42578125" bestFit="1" customWidth="1"/>
    <col min="10500" max="10500" width="15" bestFit="1" customWidth="1"/>
    <col min="10501" max="10501" width="15.85546875" customWidth="1"/>
    <col min="10502" max="10502" width="18.140625" customWidth="1"/>
    <col min="10503" max="10503" width="17.85546875" customWidth="1"/>
    <col min="10504" max="10504" width="15" bestFit="1" customWidth="1"/>
    <col min="10505" max="10505" width="11.7109375" bestFit="1" customWidth="1"/>
    <col min="10506" max="10506" width="13.140625" customWidth="1"/>
    <col min="10508" max="10508" width="28.85546875" bestFit="1" customWidth="1"/>
    <col min="10753" max="10753" width="12.5703125" customWidth="1"/>
    <col min="10754" max="10754" width="28.85546875" customWidth="1"/>
    <col min="10755" max="10755" width="13.42578125" bestFit="1" customWidth="1"/>
    <col min="10756" max="10756" width="15" bestFit="1" customWidth="1"/>
    <col min="10757" max="10757" width="15.85546875" customWidth="1"/>
    <col min="10758" max="10758" width="18.140625" customWidth="1"/>
    <col min="10759" max="10759" width="17.85546875" customWidth="1"/>
    <col min="10760" max="10760" width="15" bestFit="1" customWidth="1"/>
    <col min="10761" max="10761" width="11.7109375" bestFit="1" customWidth="1"/>
    <col min="10762" max="10762" width="13.140625" customWidth="1"/>
    <col min="10764" max="10764" width="28.85546875" bestFit="1" customWidth="1"/>
    <col min="11009" max="11009" width="12.5703125" customWidth="1"/>
    <col min="11010" max="11010" width="28.85546875" customWidth="1"/>
    <col min="11011" max="11011" width="13.42578125" bestFit="1" customWidth="1"/>
    <col min="11012" max="11012" width="15" bestFit="1" customWidth="1"/>
    <col min="11013" max="11013" width="15.85546875" customWidth="1"/>
    <col min="11014" max="11014" width="18.140625" customWidth="1"/>
    <col min="11015" max="11015" width="17.85546875" customWidth="1"/>
    <col min="11016" max="11016" width="15" bestFit="1" customWidth="1"/>
    <col min="11017" max="11017" width="11.7109375" bestFit="1" customWidth="1"/>
    <col min="11018" max="11018" width="13.140625" customWidth="1"/>
    <col min="11020" max="11020" width="28.85546875" bestFit="1" customWidth="1"/>
    <col min="11265" max="11265" width="12.5703125" customWidth="1"/>
    <col min="11266" max="11266" width="28.85546875" customWidth="1"/>
    <col min="11267" max="11267" width="13.42578125" bestFit="1" customWidth="1"/>
    <col min="11268" max="11268" width="15" bestFit="1" customWidth="1"/>
    <col min="11269" max="11269" width="15.85546875" customWidth="1"/>
    <col min="11270" max="11270" width="18.140625" customWidth="1"/>
    <col min="11271" max="11271" width="17.85546875" customWidth="1"/>
    <col min="11272" max="11272" width="15" bestFit="1" customWidth="1"/>
    <col min="11273" max="11273" width="11.7109375" bestFit="1" customWidth="1"/>
    <col min="11274" max="11274" width="13.140625" customWidth="1"/>
    <col min="11276" max="11276" width="28.85546875" bestFit="1" customWidth="1"/>
    <col min="11521" max="11521" width="12.5703125" customWidth="1"/>
    <col min="11522" max="11522" width="28.85546875" customWidth="1"/>
    <col min="11523" max="11523" width="13.42578125" bestFit="1" customWidth="1"/>
    <col min="11524" max="11524" width="15" bestFit="1" customWidth="1"/>
    <col min="11525" max="11525" width="15.85546875" customWidth="1"/>
    <col min="11526" max="11526" width="18.140625" customWidth="1"/>
    <col min="11527" max="11527" width="17.85546875" customWidth="1"/>
    <col min="11528" max="11528" width="15" bestFit="1" customWidth="1"/>
    <col min="11529" max="11529" width="11.7109375" bestFit="1" customWidth="1"/>
    <col min="11530" max="11530" width="13.140625" customWidth="1"/>
    <col min="11532" max="11532" width="28.85546875" bestFit="1" customWidth="1"/>
    <col min="11777" max="11777" width="12.5703125" customWidth="1"/>
    <col min="11778" max="11778" width="28.85546875" customWidth="1"/>
    <col min="11779" max="11779" width="13.42578125" bestFit="1" customWidth="1"/>
    <col min="11780" max="11780" width="15" bestFit="1" customWidth="1"/>
    <col min="11781" max="11781" width="15.85546875" customWidth="1"/>
    <col min="11782" max="11782" width="18.140625" customWidth="1"/>
    <col min="11783" max="11783" width="17.85546875" customWidth="1"/>
    <col min="11784" max="11784" width="15" bestFit="1" customWidth="1"/>
    <col min="11785" max="11785" width="11.7109375" bestFit="1" customWidth="1"/>
    <col min="11786" max="11786" width="13.140625" customWidth="1"/>
    <col min="11788" max="11788" width="28.85546875" bestFit="1" customWidth="1"/>
    <col min="12033" max="12033" width="12.5703125" customWidth="1"/>
    <col min="12034" max="12034" width="28.85546875" customWidth="1"/>
    <col min="12035" max="12035" width="13.42578125" bestFit="1" customWidth="1"/>
    <col min="12036" max="12036" width="15" bestFit="1" customWidth="1"/>
    <col min="12037" max="12037" width="15.85546875" customWidth="1"/>
    <col min="12038" max="12038" width="18.140625" customWidth="1"/>
    <col min="12039" max="12039" width="17.85546875" customWidth="1"/>
    <col min="12040" max="12040" width="15" bestFit="1" customWidth="1"/>
    <col min="12041" max="12041" width="11.7109375" bestFit="1" customWidth="1"/>
    <col min="12042" max="12042" width="13.140625" customWidth="1"/>
    <col min="12044" max="12044" width="28.85546875" bestFit="1" customWidth="1"/>
    <col min="12289" max="12289" width="12.5703125" customWidth="1"/>
    <col min="12290" max="12290" width="28.85546875" customWidth="1"/>
    <col min="12291" max="12291" width="13.42578125" bestFit="1" customWidth="1"/>
    <col min="12292" max="12292" width="15" bestFit="1" customWidth="1"/>
    <col min="12293" max="12293" width="15.85546875" customWidth="1"/>
    <col min="12294" max="12294" width="18.140625" customWidth="1"/>
    <col min="12295" max="12295" width="17.85546875" customWidth="1"/>
    <col min="12296" max="12296" width="15" bestFit="1" customWidth="1"/>
    <col min="12297" max="12297" width="11.7109375" bestFit="1" customWidth="1"/>
    <col min="12298" max="12298" width="13.140625" customWidth="1"/>
    <col min="12300" max="12300" width="28.85546875" bestFit="1" customWidth="1"/>
    <col min="12545" max="12545" width="12.5703125" customWidth="1"/>
    <col min="12546" max="12546" width="28.85546875" customWidth="1"/>
    <col min="12547" max="12547" width="13.42578125" bestFit="1" customWidth="1"/>
    <col min="12548" max="12548" width="15" bestFit="1" customWidth="1"/>
    <col min="12549" max="12549" width="15.85546875" customWidth="1"/>
    <col min="12550" max="12550" width="18.140625" customWidth="1"/>
    <col min="12551" max="12551" width="17.85546875" customWidth="1"/>
    <col min="12552" max="12552" width="15" bestFit="1" customWidth="1"/>
    <col min="12553" max="12553" width="11.7109375" bestFit="1" customWidth="1"/>
    <col min="12554" max="12554" width="13.140625" customWidth="1"/>
    <col min="12556" max="12556" width="28.85546875" bestFit="1" customWidth="1"/>
    <col min="12801" max="12801" width="12.5703125" customWidth="1"/>
    <col min="12802" max="12802" width="28.85546875" customWidth="1"/>
    <col min="12803" max="12803" width="13.42578125" bestFit="1" customWidth="1"/>
    <col min="12804" max="12804" width="15" bestFit="1" customWidth="1"/>
    <col min="12805" max="12805" width="15.85546875" customWidth="1"/>
    <col min="12806" max="12806" width="18.140625" customWidth="1"/>
    <col min="12807" max="12807" width="17.85546875" customWidth="1"/>
    <col min="12808" max="12808" width="15" bestFit="1" customWidth="1"/>
    <col min="12809" max="12809" width="11.7109375" bestFit="1" customWidth="1"/>
    <col min="12810" max="12810" width="13.140625" customWidth="1"/>
    <col min="12812" max="12812" width="28.85546875" bestFit="1" customWidth="1"/>
    <col min="13057" max="13057" width="12.5703125" customWidth="1"/>
    <col min="13058" max="13058" width="28.85546875" customWidth="1"/>
    <col min="13059" max="13059" width="13.42578125" bestFit="1" customWidth="1"/>
    <col min="13060" max="13060" width="15" bestFit="1" customWidth="1"/>
    <col min="13061" max="13061" width="15.85546875" customWidth="1"/>
    <col min="13062" max="13062" width="18.140625" customWidth="1"/>
    <col min="13063" max="13063" width="17.85546875" customWidth="1"/>
    <col min="13064" max="13064" width="15" bestFit="1" customWidth="1"/>
    <col min="13065" max="13065" width="11.7109375" bestFit="1" customWidth="1"/>
    <col min="13066" max="13066" width="13.140625" customWidth="1"/>
    <col min="13068" max="13068" width="28.85546875" bestFit="1" customWidth="1"/>
    <col min="13313" max="13313" width="12.5703125" customWidth="1"/>
    <col min="13314" max="13314" width="28.85546875" customWidth="1"/>
    <col min="13315" max="13315" width="13.42578125" bestFit="1" customWidth="1"/>
    <col min="13316" max="13316" width="15" bestFit="1" customWidth="1"/>
    <col min="13317" max="13317" width="15.85546875" customWidth="1"/>
    <col min="13318" max="13318" width="18.140625" customWidth="1"/>
    <col min="13319" max="13319" width="17.85546875" customWidth="1"/>
    <col min="13320" max="13320" width="15" bestFit="1" customWidth="1"/>
    <col min="13321" max="13321" width="11.7109375" bestFit="1" customWidth="1"/>
    <col min="13322" max="13322" width="13.140625" customWidth="1"/>
    <col min="13324" max="13324" width="28.85546875" bestFit="1" customWidth="1"/>
    <col min="13569" max="13569" width="12.5703125" customWidth="1"/>
    <col min="13570" max="13570" width="28.85546875" customWidth="1"/>
    <col min="13571" max="13571" width="13.42578125" bestFit="1" customWidth="1"/>
    <col min="13572" max="13572" width="15" bestFit="1" customWidth="1"/>
    <col min="13573" max="13573" width="15.85546875" customWidth="1"/>
    <col min="13574" max="13574" width="18.140625" customWidth="1"/>
    <col min="13575" max="13575" width="17.85546875" customWidth="1"/>
    <col min="13576" max="13576" width="15" bestFit="1" customWidth="1"/>
    <col min="13577" max="13577" width="11.7109375" bestFit="1" customWidth="1"/>
    <col min="13578" max="13578" width="13.140625" customWidth="1"/>
    <col min="13580" max="13580" width="28.85546875" bestFit="1" customWidth="1"/>
    <col min="13825" max="13825" width="12.5703125" customWidth="1"/>
    <col min="13826" max="13826" width="28.85546875" customWidth="1"/>
    <col min="13827" max="13827" width="13.42578125" bestFit="1" customWidth="1"/>
    <col min="13828" max="13828" width="15" bestFit="1" customWidth="1"/>
    <col min="13829" max="13829" width="15.85546875" customWidth="1"/>
    <col min="13830" max="13830" width="18.140625" customWidth="1"/>
    <col min="13831" max="13831" width="17.85546875" customWidth="1"/>
    <col min="13832" max="13832" width="15" bestFit="1" customWidth="1"/>
    <col min="13833" max="13833" width="11.7109375" bestFit="1" customWidth="1"/>
    <col min="13834" max="13834" width="13.140625" customWidth="1"/>
    <col min="13836" max="13836" width="28.85546875" bestFit="1" customWidth="1"/>
    <col min="14081" max="14081" width="12.5703125" customWidth="1"/>
    <col min="14082" max="14082" width="28.85546875" customWidth="1"/>
    <col min="14083" max="14083" width="13.42578125" bestFit="1" customWidth="1"/>
    <col min="14084" max="14084" width="15" bestFit="1" customWidth="1"/>
    <col min="14085" max="14085" width="15.85546875" customWidth="1"/>
    <col min="14086" max="14086" width="18.140625" customWidth="1"/>
    <col min="14087" max="14087" width="17.85546875" customWidth="1"/>
    <col min="14088" max="14088" width="15" bestFit="1" customWidth="1"/>
    <col min="14089" max="14089" width="11.7109375" bestFit="1" customWidth="1"/>
    <col min="14090" max="14090" width="13.140625" customWidth="1"/>
    <col min="14092" max="14092" width="28.85546875" bestFit="1" customWidth="1"/>
    <col min="14337" max="14337" width="12.5703125" customWidth="1"/>
    <col min="14338" max="14338" width="28.85546875" customWidth="1"/>
    <col min="14339" max="14339" width="13.42578125" bestFit="1" customWidth="1"/>
    <col min="14340" max="14340" width="15" bestFit="1" customWidth="1"/>
    <col min="14341" max="14341" width="15.85546875" customWidth="1"/>
    <col min="14342" max="14342" width="18.140625" customWidth="1"/>
    <col min="14343" max="14343" width="17.85546875" customWidth="1"/>
    <col min="14344" max="14344" width="15" bestFit="1" customWidth="1"/>
    <col min="14345" max="14345" width="11.7109375" bestFit="1" customWidth="1"/>
    <col min="14346" max="14346" width="13.140625" customWidth="1"/>
    <col min="14348" max="14348" width="28.85546875" bestFit="1" customWidth="1"/>
    <col min="14593" max="14593" width="12.5703125" customWidth="1"/>
    <col min="14594" max="14594" width="28.85546875" customWidth="1"/>
    <col min="14595" max="14595" width="13.42578125" bestFit="1" customWidth="1"/>
    <col min="14596" max="14596" width="15" bestFit="1" customWidth="1"/>
    <col min="14597" max="14597" width="15.85546875" customWidth="1"/>
    <col min="14598" max="14598" width="18.140625" customWidth="1"/>
    <col min="14599" max="14599" width="17.85546875" customWidth="1"/>
    <col min="14600" max="14600" width="15" bestFit="1" customWidth="1"/>
    <col min="14601" max="14601" width="11.7109375" bestFit="1" customWidth="1"/>
    <col min="14602" max="14602" width="13.140625" customWidth="1"/>
    <col min="14604" max="14604" width="28.85546875" bestFit="1" customWidth="1"/>
    <col min="14849" max="14849" width="12.5703125" customWidth="1"/>
    <col min="14850" max="14850" width="28.85546875" customWidth="1"/>
    <col min="14851" max="14851" width="13.42578125" bestFit="1" customWidth="1"/>
    <col min="14852" max="14852" width="15" bestFit="1" customWidth="1"/>
    <col min="14853" max="14853" width="15.85546875" customWidth="1"/>
    <col min="14854" max="14854" width="18.140625" customWidth="1"/>
    <col min="14855" max="14855" width="17.85546875" customWidth="1"/>
    <col min="14856" max="14856" width="15" bestFit="1" customWidth="1"/>
    <col min="14857" max="14857" width="11.7109375" bestFit="1" customWidth="1"/>
    <col min="14858" max="14858" width="13.140625" customWidth="1"/>
    <col min="14860" max="14860" width="28.85546875" bestFit="1" customWidth="1"/>
    <col min="15105" max="15105" width="12.5703125" customWidth="1"/>
    <col min="15106" max="15106" width="28.85546875" customWidth="1"/>
    <col min="15107" max="15107" width="13.42578125" bestFit="1" customWidth="1"/>
    <col min="15108" max="15108" width="15" bestFit="1" customWidth="1"/>
    <col min="15109" max="15109" width="15.85546875" customWidth="1"/>
    <col min="15110" max="15110" width="18.140625" customWidth="1"/>
    <col min="15111" max="15111" width="17.85546875" customWidth="1"/>
    <col min="15112" max="15112" width="15" bestFit="1" customWidth="1"/>
    <col min="15113" max="15113" width="11.7109375" bestFit="1" customWidth="1"/>
    <col min="15114" max="15114" width="13.140625" customWidth="1"/>
    <col min="15116" max="15116" width="28.85546875" bestFit="1" customWidth="1"/>
    <col min="15361" max="15361" width="12.5703125" customWidth="1"/>
    <col min="15362" max="15362" width="28.85546875" customWidth="1"/>
    <col min="15363" max="15363" width="13.42578125" bestFit="1" customWidth="1"/>
    <col min="15364" max="15364" width="15" bestFit="1" customWidth="1"/>
    <col min="15365" max="15365" width="15.85546875" customWidth="1"/>
    <col min="15366" max="15366" width="18.140625" customWidth="1"/>
    <col min="15367" max="15367" width="17.85546875" customWidth="1"/>
    <col min="15368" max="15368" width="15" bestFit="1" customWidth="1"/>
    <col min="15369" max="15369" width="11.7109375" bestFit="1" customWidth="1"/>
    <col min="15370" max="15370" width="13.140625" customWidth="1"/>
    <col min="15372" max="15372" width="28.85546875" bestFit="1" customWidth="1"/>
    <col min="15617" max="15617" width="12.5703125" customWidth="1"/>
    <col min="15618" max="15618" width="28.85546875" customWidth="1"/>
    <col min="15619" max="15619" width="13.42578125" bestFit="1" customWidth="1"/>
    <col min="15620" max="15620" width="15" bestFit="1" customWidth="1"/>
    <col min="15621" max="15621" width="15.85546875" customWidth="1"/>
    <col min="15622" max="15622" width="18.140625" customWidth="1"/>
    <col min="15623" max="15623" width="17.85546875" customWidth="1"/>
    <col min="15624" max="15624" width="15" bestFit="1" customWidth="1"/>
    <col min="15625" max="15625" width="11.7109375" bestFit="1" customWidth="1"/>
    <col min="15626" max="15626" width="13.140625" customWidth="1"/>
    <col min="15628" max="15628" width="28.85546875" bestFit="1" customWidth="1"/>
    <col min="15873" max="15873" width="12.5703125" customWidth="1"/>
    <col min="15874" max="15874" width="28.85546875" customWidth="1"/>
    <col min="15875" max="15875" width="13.42578125" bestFit="1" customWidth="1"/>
    <col min="15876" max="15876" width="15" bestFit="1" customWidth="1"/>
    <col min="15877" max="15877" width="15.85546875" customWidth="1"/>
    <col min="15878" max="15878" width="18.140625" customWidth="1"/>
    <col min="15879" max="15879" width="17.85546875" customWidth="1"/>
    <col min="15880" max="15880" width="15" bestFit="1" customWidth="1"/>
    <col min="15881" max="15881" width="11.7109375" bestFit="1" customWidth="1"/>
    <col min="15882" max="15882" width="13.140625" customWidth="1"/>
    <col min="15884" max="15884" width="28.85546875" bestFit="1" customWidth="1"/>
    <col min="16129" max="16129" width="12.5703125" customWidth="1"/>
    <col min="16130" max="16130" width="28.85546875" customWidth="1"/>
    <col min="16131" max="16131" width="13.42578125" bestFit="1" customWidth="1"/>
    <col min="16132" max="16132" width="15" bestFit="1" customWidth="1"/>
    <col min="16133" max="16133" width="15.85546875" customWidth="1"/>
    <col min="16134" max="16134" width="18.140625" customWidth="1"/>
    <col min="16135" max="16135" width="17.85546875" customWidth="1"/>
    <col min="16136" max="16136" width="15" bestFit="1" customWidth="1"/>
    <col min="16137" max="16137" width="11.7109375" bestFit="1" customWidth="1"/>
    <col min="16138" max="16138" width="13.140625" customWidth="1"/>
    <col min="16140" max="16140" width="28.85546875" bestFit="1" customWidth="1"/>
  </cols>
  <sheetData>
    <row r="1" spans="2:17" ht="15.75" thickBot="1"/>
    <row r="2" spans="2:17" ht="18.75" thickBot="1">
      <c r="B2" s="77"/>
      <c r="C2" s="160"/>
      <c r="D2" s="315" t="s">
        <v>128</v>
      </c>
      <c r="E2" s="316"/>
      <c r="F2" s="316"/>
      <c r="G2" s="317"/>
    </row>
    <row r="3" spans="2:17" ht="15.75" thickBot="1">
      <c r="B3" s="161"/>
      <c r="C3" s="162"/>
      <c r="D3" s="163"/>
      <c r="E3" s="161"/>
      <c r="F3" s="161"/>
      <c r="G3" s="161"/>
      <c r="H3" s="161"/>
      <c r="I3" s="164"/>
      <c r="J3" s="161"/>
      <c r="K3" s="161"/>
    </row>
    <row r="4" spans="2:17" ht="16.5" thickBot="1">
      <c r="B4" s="318" t="s">
        <v>129</v>
      </c>
      <c r="C4" s="319"/>
      <c r="D4" s="319"/>
      <c r="E4" s="319"/>
      <c r="F4" s="319"/>
      <c r="G4" s="319"/>
      <c r="H4" s="319"/>
      <c r="I4" s="319"/>
      <c r="J4" s="320"/>
      <c r="K4" s="161"/>
      <c r="L4" s="161"/>
    </row>
    <row r="5" spans="2:17" ht="15.75" thickBot="1">
      <c r="B5" s="165" t="s">
        <v>130</v>
      </c>
      <c r="C5" s="166"/>
      <c r="D5" s="166"/>
      <c r="E5" s="166"/>
      <c r="F5" s="166"/>
      <c r="G5" s="166"/>
      <c r="H5" s="166"/>
      <c r="I5" s="166"/>
      <c r="J5" s="167"/>
      <c r="K5" s="168"/>
    </row>
    <row r="6" spans="2:17">
      <c r="B6" s="213"/>
      <c r="C6" s="214"/>
      <c r="D6" s="321" t="s">
        <v>131</v>
      </c>
      <c r="E6" s="321"/>
      <c r="F6" s="321"/>
      <c r="G6" s="321"/>
      <c r="H6" s="214" t="s">
        <v>132</v>
      </c>
      <c r="I6" s="214"/>
      <c r="J6" s="322" t="s">
        <v>133</v>
      </c>
      <c r="K6" s="168"/>
    </row>
    <row r="7" spans="2:17">
      <c r="B7" s="215" t="s">
        <v>134</v>
      </c>
      <c r="C7" s="216" t="s">
        <v>88</v>
      </c>
      <c r="D7" s="216" t="s">
        <v>135</v>
      </c>
      <c r="E7" s="216" t="s">
        <v>136</v>
      </c>
      <c r="F7" s="216" t="s">
        <v>137</v>
      </c>
      <c r="G7" s="216" t="s">
        <v>138</v>
      </c>
      <c r="H7" s="216" t="s">
        <v>139</v>
      </c>
      <c r="I7" s="216" t="s">
        <v>140</v>
      </c>
      <c r="J7" s="323"/>
      <c r="K7" s="168"/>
    </row>
    <row r="8" spans="2:17">
      <c r="B8" s="215" t="s">
        <v>141</v>
      </c>
      <c r="C8" s="217" t="s">
        <v>142</v>
      </c>
      <c r="D8" s="217" t="s">
        <v>143</v>
      </c>
      <c r="E8" s="218"/>
      <c r="F8" s="218"/>
      <c r="G8" s="218"/>
      <c r="H8" s="217" t="s">
        <v>144</v>
      </c>
      <c r="I8" s="217" t="s">
        <v>145</v>
      </c>
      <c r="J8" s="323"/>
      <c r="K8" s="168"/>
    </row>
    <row r="9" spans="2:17">
      <c r="B9" s="169">
        <v>0</v>
      </c>
      <c r="C9" s="170">
        <v>0</v>
      </c>
      <c r="D9" s="171">
        <v>0</v>
      </c>
      <c r="E9" s="172">
        <f>INVERSIONES!F14</f>
        <v>25200000</v>
      </c>
      <c r="F9" s="173">
        <f>INVERSIONES!F18</f>
        <v>0</v>
      </c>
      <c r="G9" s="174">
        <f>INVERSIONES!F23</f>
        <v>7714900</v>
      </c>
      <c r="H9" s="175"/>
      <c r="I9" s="175"/>
      <c r="J9" s="176">
        <f t="shared" ref="J9:J14" si="0">C9-D9-E9-F9-G9+H9+I9</f>
        <v>-32914900</v>
      </c>
      <c r="K9" s="168"/>
      <c r="L9" s="177"/>
      <c r="M9" s="178"/>
      <c r="N9" s="178"/>
      <c r="O9" s="178"/>
      <c r="P9" s="178"/>
      <c r="Q9" s="49"/>
    </row>
    <row r="10" spans="2:17">
      <c r="B10" s="169">
        <v>1</v>
      </c>
      <c r="C10" s="179">
        <f>'ESTADO RESULTADOS'!C7</f>
        <v>19000000</v>
      </c>
      <c r="D10" s="179">
        <f>'ESTADO RESULTADOS'!C29</f>
        <v>9892900</v>
      </c>
      <c r="E10" s="180"/>
      <c r="F10" s="180"/>
      <c r="G10" s="180"/>
      <c r="H10" s="171"/>
      <c r="I10" s="171"/>
      <c r="J10" s="176">
        <f t="shared" si="0"/>
        <v>9107100</v>
      </c>
      <c r="K10" s="168"/>
      <c r="L10" s="181"/>
      <c r="M10" s="181"/>
      <c r="N10" s="181"/>
      <c r="O10" s="181"/>
      <c r="P10" s="181"/>
      <c r="Q10" s="49"/>
    </row>
    <row r="11" spans="2:17">
      <c r="B11" s="169">
        <v>2</v>
      </c>
      <c r="C11" s="179">
        <f>'ESTADO RESULTADOS'!D7</f>
        <v>19950000</v>
      </c>
      <c r="D11" s="179">
        <f>'ESTADO RESULTADOS'!D29</f>
        <v>10387545</v>
      </c>
      <c r="E11" s="171"/>
      <c r="F11" s="171"/>
      <c r="G11" s="171"/>
      <c r="H11" s="171"/>
      <c r="I11" s="171"/>
      <c r="J11" s="176">
        <f t="shared" si="0"/>
        <v>9562455</v>
      </c>
      <c r="K11" s="168"/>
    </row>
    <row r="12" spans="2:17">
      <c r="B12" s="169">
        <v>3</v>
      </c>
      <c r="C12" s="179">
        <f>'ESTADO RESULTADOS'!E7</f>
        <v>20947500</v>
      </c>
      <c r="D12" s="179">
        <f>'ESTADO RESULTADOS'!E29</f>
        <v>10906922.25</v>
      </c>
      <c r="E12" s="171"/>
      <c r="F12" s="171"/>
      <c r="G12" s="171"/>
      <c r="H12" s="171"/>
      <c r="I12" s="171"/>
      <c r="J12" s="176">
        <f t="shared" si="0"/>
        <v>10040577.75</v>
      </c>
      <c r="K12" s="168"/>
    </row>
    <row r="13" spans="2:17">
      <c r="B13" s="169">
        <v>4</v>
      </c>
      <c r="C13" s="179">
        <f>'ESTADO RESULTADOS'!F7</f>
        <v>21994875</v>
      </c>
      <c r="D13" s="179">
        <f>'ESTADO RESULTADOS'!F29</f>
        <v>11452268.362500001</v>
      </c>
      <c r="E13" s="171"/>
      <c r="F13" s="171"/>
      <c r="G13" s="171"/>
      <c r="H13" s="171"/>
      <c r="I13" s="171"/>
      <c r="J13" s="176">
        <f t="shared" si="0"/>
        <v>10542606.637499999</v>
      </c>
      <c r="K13" s="168"/>
    </row>
    <row r="14" spans="2:17" ht="15.75" thickBot="1">
      <c r="B14" s="182">
        <v>5</v>
      </c>
      <c r="C14" s="183">
        <f>'ESTADO RESULTADOS'!G7</f>
        <v>23094618.75</v>
      </c>
      <c r="D14" s="183">
        <f>'ESTADO RESULTADOS'!G29</f>
        <v>12024881.780625002</v>
      </c>
      <c r="E14" s="184"/>
      <c r="F14" s="184"/>
      <c r="G14" s="184"/>
      <c r="H14" s="184">
        <f>DEPREC!J15</f>
        <v>11485714.285714285</v>
      </c>
      <c r="I14" s="184"/>
      <c r="J14" s="185">
        <f t="shared" si="0"/>
        <v>22555451.255089283</v>
      </c>
      <c r="K14" s="168"/>
    </row>
    <row r="15" spans="2:17">
      <c r="B15" s="186"/>
      <c r="C15" s="166"/>
      <c r="D15" s="166"/>
      <c r="E15" s="187"/>
      <c r="F15" s="187"/>
      <c r="G15" s="187"/>
      <c r="I15" s="188"/>
      <c r="J15" s="167"/>
      <c r="K15" s="168"/>
    </row>
    <row r="16" spans="2:17" ht="15.75" thickBot="1">
      <c r="B16" s="189" t="s">
        <v>146</v>
      </c>
      <c r="C16" s="190"/>
      <c r="D16" s="190"/>
      <c r="E16" s="190"/>
      <c r="F16" s="191"/>
      <c r="G16" s="191"/>
      <c r="H16" s="191"/>
      <c r="I16" s="191"/>
      <c r="J16" s="167"/>
      <c r="K16" s="168"/>
    </row>
    <row r="17" spans="2:11">
      <c r="B17" s="219" t="s">
        <v>147</v>
      </c>
      <c r="C17" s="220" t="s">
        <v>148</v>
      </c>
      <c r="D17" s="220" t="s">
        <v>149</v>
      </c>
      <c r="E17" s="220" t="s">
        <v>150</v>
      </c>
      <c r="F17" s="220" t="s">
        <v>148</v>
      </c>
      <c r="G17" s="220" t="s">
        <v>149</v>
      </c>
      <c r="H17" s="221" t="s">
        <v>151</v>
      </c>
      <c r="I17" s="192"/>
      <c r="J17" s="167"/>
      <c r="K17" s="168"/>
    </row>
    <row r="18" spans="2:11">
      <c r="B18" s="215" t="s">
        <v>152</v>
      </c>
      <c r="C18" s="216" t="s">
        <v>143</v>
      </c>
      <c r="D18" s="216" t="s">
        <v>143</v>
      </c>
      <c r="E18" s="216" t="s">
        <v>153</v>
      </c>
      <c r="F18" s="216" t="s">
        <v>154</v>
      </c>
      <c r="G18" s="216" t="s">
        <v>154</v>
      </c>
      <c r="H18" s="222" t="s">
        <v>155</v>
      </c>
      <c r="I18" s="193"/>
      <c r="J18" s="167"/>
      <c r="K18" s="168"/>
    </row>
    <row r="19" spans="2:11">
      <c r="B19" s="215" t="s">
        <v>141</v>
      </c>
      <c r="C19" s="217" t="s">
        <v>156</v>
      </c>
      <c r="D19" s="217" t="s">
        <v>156</v>
      </c>
      <c r="E19" s="223">
        <v>0.1</v>
      </c>
      <c r="F19" s="217" t="s">
        <v>156</v>
      </c>
      <c r="G19" s="217" t="s">
        <v>156</v>
      </c>
      <c r="H19" s="224" t="s">
        <v>156</v>
      </c>
      <c r="I19" s="192"/>
      <c r="J19" s="167"/>
      <c r="K19" s="168"/>
    </row>
    <row r="20" spans="2:11">
      <c r="B20" s="169">
        <v>0</v>
      </c>
      <c r="C20" s="171">
        <f>SUM(D9,E9,F9,G9)</f>
        <v>32914900</v>
      </c>
      <c r="D20" s="171">
        <f t="shared" ref="D20:D25" si="1">C9+H9+I9</f>
        <v>0</v>
      </c>
      <c r="E20" s="7">
        <f>1/(1+E19)^B20</f>
        <v>1</v>
      </c>
      <c r="F20" s="179">
        <f t="shared" ref="F20:F25" si="2">+E20*C20</f>
        <v>32914900</v>
      </c>
      <c r="G20" s="179">
        <f t="shared" ref="G20:G25" si="3">+E20*D20</f>
        <v>0</v>
      </c>
      <c r="H20" s="194">
        <f t="shared" ref="H20:H25" si="4">+G20-F20</f>
        <v>-32914900</v>
      </c>
      <c r="I20" s="191"/>
      <c r="J20" s="167"/>
      <c r="K20" s="168"/>
    </row>
    <row r="21" spans="2:11">
      <c r="B21" s="169">
        <v>1</v>
      </c>
      <c r="C21" s="171">
        <f t="shared" ref="C21:C25" si="5">SUM(D10,E10,F10,G10)</f>
        <v>9892900</v>
      </c>
      <c r="D21" s="171">
        <f t="shared" si="1"/>
        <v>19000000</v>
      </c>
      <c r="E21" s="7">
        <f>1/(1+E19)^B21</f>
        <v>0.90909090909090906</v>
      </c>
      <c r="F21" s="179">
        <f t="shared" si="2"/>
        <v>8993545.4545454551</v>
      </c>
      <c r="G21" s="179">
        <f>+E21*D21</f>
        <v>17272727.272727273</v>
      </c>
      <c r="H21" s="194">
        <f t="shared" si="4"/>
        <v>8279181.8181818184</v>
      </c>
      <c r="I21" s="191"/>
      <c r="J21" s="167"/>
      <c r="K21" s="168"/>
    </row>
    <row r="22" spans="2:11">
      <c r="B22" s="169">
        <v>2</v>
      </c>
      <c r="C22" s="171">
        <f t="shared" si="5"/>
        <v>10387545</v>
      </c>
      <c r="D22" s="171">
        <f t="shared" si="1"/>
        <v>19950000</v>
      </c>
      <c r="E22" s="7">
        <f>1/(1+E19)^B22</f>
        <v>0.82644628099173545</v>
      </c>
      <c r="F22" s="179">
        <f t="shared" si="2"/>
        <v>8584747.9338842966</v>
      </c>
      <c r="G22" s="179">
        <f t="shared" si="3"/>
        <v>16487603.305785121</v>
      </c>
      <c r="H22" s="194">
        <f t="shared" si="4"/>
        <v>7902855.3719008248</v>
      </c>
      <c r="I22" s="191"/>
      <c r="J22" s="167"/>
      <c r="K22" s="168"/>
    </row>
    <row r="23" spans="2:11">
      <c r="B23" s="169">
        <v>3</v>
      </c>
      <c r="C23" s="171">
        <f t="shared" si="5"/>
        <v>10906922.25</v>
      </c>
      <c r="D23" s="171">
        <f t="shared" si="1"/>
        <v>20947500</v>
      </c>
      <c r="E23" s="7">
        <f>1/(1+E19)^B23</f>
        <v>0.75131480090157754</v>
      </c>
      <c r="F23" s="179">
        <f t="shared" si="2"/>
        <v>8194532.118707736</v>
      </c>
      <c r="G23" s="179">
        <f t="shared" si="3"/>
        <v>15738166.791885795</v>
      </c>
      <c r="H23" s="194">
        <f t="shared" si="4"/>
        <v>7543634.673178059</v>
      </c>
      <c r="I23" s="191"/>
      <c r="J23" s="167"/>
      <c r="K23" s="168"/>
    </row>
    <row r="24" spans="2:11">
      <c r="B24" s="169">
        <v>4</v>
      </c>
      <c r="C24" s="171">
        <f t="shared" si="5"/>
        <v>11452268.362500001</v>
      </c>
      <c r="D24" s="171">
        <f t="shared" si="1"/>
        <v>21994875</v>
      </c>
      <c r="E24" s="7">
        <f>1/(1+E19)^B24</f>
        <v>0.68301345536507052</v>
      </c>
      <c r="F24" s="179">
        <f t="shared" si="2"/>
        <v>7822053.386039204</v>
      </c>
      <c r="G24" s="179">
        <f t="shared" si="3"/>
        <v>15022795.574072806</v>
      </c>
      <c r="H24" s="194">
        <f t="shared" si="4"/>
        <v>7200742.1880336022</v>
      </c>
      <c r="I24" s="191"/>
      <c r="J24" s="167"/>
      <c r="K24" s="168"/>
    </row>
    <row r="25" spans="2:11">
      <c r="B25" s="169">
        <v>5</v>
      </c>
      <c r="C25" s="171">
        <f t="shared" si="5"/>
        <v>12024881.780625002</v>
      </c>
      <c r="D25" s="171">
        <f t="shared" si="1"/>
        <v>34580333.035714284</v>
      </c>
      <c r="E25" s="7">
        <f>1/(1+E19)^B25</f>
        <v>0.62092132305915493</v>
      </c>
      <c r="F25" s="179">
        <f t="shared" si="2"/>
        <v>7466505.504855603</v>
      </c>
      <c r="G25" s="179">
        <f t="shared" si="3"/>
        <v>21471666.140361916</v>
      </c>
      <c r="H25" s="194">
        <f t="shared" si="4"/>
        <v>14005160.635506313</v>
      </c>
      <c r="I25" s="191"/>
      <c r="J25" s="167"/>
      <c r="K25" s="168"/>
    </row>
    <row r="26" spans="2:11" ht="15.75" thickBot="1">
      <c r="B26" s="195" t="s">
        <v>14</v>
      </c>
      <c r="C26" s="196">
        <f>SUM(C20:C24)</f>
        <v>75554535.612499997</v>
      </c>
      <c r="D26" s="196">
        <f>SUM(D20:D25)</f>
        <v>116472708.03571428</v>
      </c>
      <c r="E26" s="196"/>
      <c r="F26" s="197">
        <f>SUM(F20:F25)</f>
        <v>73976284.398032293</v>
      </c>
      <c r="G26" s="197">
        <f>SUM(G20:G25)</f>
        <v>85992959.084832907</v>
      </c>
      <c r="H26" s="198">
        <f>SUM(H20:H25)</f>
        <v>12016674.686800621</v>
      </c>
      <c r="I26" s="199"/>
      <c r="J26" s="200"/>
      <c r="K26" s="168"/>
    </row>
    <row r="27" spans="2:11">
      <c r="B27" s="201"/>
      <c r="C27" s="202"/>
      <c r="D27" s="202"/>
      <c r="E27" s="202"/>
      <c r="F27" s="202"/>
      <c r="G27" s="202"/>
      <c r="H27" s="202"/>
      <c r="I27" s="203"/>
      <c r="J27" s="204"/>
      <c r="K27" s="168"/>
    </row>
    <row r="28" spans="2:11" ht="15.75" thickBot="1">
      <c r="B28" s="191"/>
      <c r="C28" s="205" t="s">
        <v>157</v>
      </c>
      <c r="D28" s="205"/>
      <c r="E28" s="205"/>
      <c r="F28" s="205"/>
      <c r="G28" s="205"/>
      <c r="H28" s="205"/>
      <c r="I28" s="191"/>
      <c r="J28" s="167"/>
      <c r="K28" s="168"/>
    </row>
    <row r="29" spans="2:11">
      <c r="B29" s="191"/>
      <c r="C29" s="191"/>
      <c r="D29" s="206" t="s">
        <v>158</v>
      </c>
      <c r="E29" s="207">
        <f>H26</f>
        <v>12016674.686800621</v>
      </c>
      <c r="F29" s="250" t="str">
        <f>IF(E29&gt;0,"Viable","Se rechaza")</f>
        <v>Viable</v>
      </c>
      <c r="G29" s="205"/>
      <c r="H29" s="205"/>
      <c r="I29" s="191"/>
      <c r="J29" s="167"/>
      <c r="K29" s="168"/>
    </row>
    <row r="30" spans="2:11">
      <c r="B30" s="191"/>
      <c r="C30" s="191"/>
      <c r="D30" s="208" t="s">
        <v>159</v>
      </c>
      <c r="E30" s="209" cm="1">
        <f t="array" ref="E30">IRR((D20:D25)-(C20:C25))</f>
        <v>0.21515486205165146</v>
      </c>
      <c r="F30" s="250" t="str">
        <f>IF(E30&gt;E19,"Viable","Se rechaza")</f>
        <v>Viable</v>
      </c>
      <c r="G30" s="205"/>
      <c r="H30" s="205"/>
      <c r="I30" s="191"/>
      <c r="J30" s="167"/>
      <c r="K30" s="168"/>
    </row>
    <row r="31" spans="2:11" ht="15.75" thickBot="1">
      <c r="B31" s="191"/>
      <c r="C31" s="191"/>
      <c r="D31" s="210" t="s">
        <v>160</v>
      </c>
      <c r="E31" s="211">
        <f>G26/F26</f>
        <v>1.162439554575956</v>
      </c>
      <c r="F31" s="250" t="str">
        <f>IF(E31&gt;=1,"Viable","Se rechaza")</f>
        <v>Viable</v>
      </c>
      <c r="G31" s="205"/>
      <c r="H31" s="205"/>
      <c r="I31" s="166"/>
      <c r="J31" s="167"/>
      <c r="K31" s="168"/>
    </row>
    <row r="32" spans="2:11">
      <c r="B32" s="168"/>
      <c r="C32" s="168"/>
      <c r="D32" s="168"/>
      <c r="E32" s="168"/>
      <c r="F32" s="168"/>
      <c r="G32" s="168"/>
      <c r="H32" s="168"/>
      <c r="I32" s="168"/>
      <c r="J32" s="168"/>
      <c r="K32" s="168"/>
    </row>
    <row r="33" spans="2:11">
      <c r="B33" s="168"/>
      <c r="C33" s="168"/>
      <c r="D33" s="168"/>
      <c r="E33" s="168"/>
      <c r="F33" s="168"/>
      <c r="G33" s="168"/>
      <c r="H33" s="168"/>
      <c r="I33" s="212" t="s">
        <v>161</v>
      </c>
      <c r="J33" s="168"/>
      <c r="K33" s="168"/>
    </row>
    <row r="34" spans="2:11">
      <c r="B34" s="168"/>
      <c r="C34" s="168"/>
      <c r="D34" s="168"/>
      <c r="E34" s="168"/>
      <c r="F34" s="168"/>
      <c r="G34" s="168"/>
      <c r="H34" s="168"/>
      <c r="I34" s="168"/>
      <c r="J34" s="168"/>
      <c r="K34" s="168"/>
    </row>
    <row r="35" spans="2:11">
      <c r="B35" s="168"/>
      <c r="C35" s="168"/>
      <c r="D35" s="168"/>
      <c r="E35" s="168"/>
      <c r="F35" s="168"/>
      <c r="G35" s="168"/>
      <c r="H35" s="168"/>
      <c r="I35" s="168"/>
      <c r="J35" s="168"/>
      <c r="K35" s="168"/>
    </row>
    <row r="36" spans="2:11">
      <c r="B36" s="168"/>
      <c r="C36" s="168"/>
      <c r="D36" s="168"/>
      <c r="E36" s="168"/>
      <c r="F36" s="168"/>
      <c r="G36" s="168"/>
      <c r="H36" s="168"/>
      <c r="I36" s="168"/>
      <c r="J36" s="168"/>
      <c r="K36" s="168"/>
    </row>
    <row r="37" spans="2:11">
      <c r="B37" s="168"/>
      <c r="C37" s="168"/>
      <c r="D37" s="168"/>
      <c r="E37" s="168"/>
      <c r="F37" s="168"/>
      <c r="G37" s="168"/>
      <c r="H37" s="168"/>
      <c r="I37" s="168"/>
      <c r="J37" s="168"/>
      <c r="K37" s="168"/>
    </row>
    <row r="38" spans="2:11">
      <c r="B38" s="168"/>
      <c r="C38" s="168"/>
      <c r="D38" s="168"/>
      <c r="E38" s="168"/>
      <c r="F38" s="168"/>
      <c r="G38" s="168"/>
      <c r="H38" s="168"/>
      <c r="I38" s="168"/>
      <c r="J38" s="168"/>
      <c r="K38" s="168"/>
    </row>
    <row r="39" spans="2:11">
      <c r="B39" s="168"/>
      <c r="C39" s="168"/>
      <c r="D39" s="168"/>
      <c r="E39" s="168"/>
      <c r="F39" s="168"/>
      <c r="G39" s="168"/>
      <c r="H39" s="168"/>
      <c r="I39" s="168"/>
      <c r="J39" s="168"/>
      <c r="K39" s="168"/>
    </row>
    <row r="40" spans="2:11">
      <c r="B40" s="168"/>
      <c r="C40" s="168"/>
      <c r="D40" s="168"/>
      <c r="E40" s="168"/>
      <c r="F40" s="168"/>
      <c r="G40" s="168"/>
      <c r="H40" s="168"/>
      <c r="I40" s="168"/>
      <c r="J40" s="168"/>
      <c r="K40" s="168"/>
    </row>
    <row r="41" spans="2:11">
      <c r="B41" s="168"/>
      <c r="C41" s="168"/>
      <c r="D41" s="168"/>
      <c r="E41" s="168"/>
      <c r="F41" s="168"/>
      <c r="G41" s="168"/>
      <c r="H41" s="168"/>
      <c r="I41" s="168"/>
      <c r="J41" s="168"/>
      <c r="K41" s="168"/>
    </row>
    <row r="42" spans="2:11">
      <c r="B42" s="168"/>
      <c r="C42" s="168"/>
      <c r="D42" s="168"/>
      <c r="E42" s="168"/>
      <c r="F42" s="168"/>
      <c r="G42" s="168"/>
      <c r="H42" s="168"/>
      <c r="I42" s="168"/>
      <c r="J42" s="168"/>
      <c r="K42" s="168"/>
    </row>
    <row r="43" spans="2:11">
      <c r="B43" s="168"/>
      <c r="C43" s="168"/>
      <c r="D43" s="168"/>
      <c r="E43" s="168"/>
      <c r="F43" s="168"/>
      <c r="G43" s="168"/>
      <c r="H43" s="168"/>
      <c r="I43" s="168"/>
      <c r="J43" s="168"/>
      <c r="K43" s="168"/>
    </row>
    <row r="44" spans="2:11">
      <c r="B44" s="168"/>
      <c r="C44" s="168"/>
      <c r="D44" s="168"/>
      <c r="E44" s="168"/>
      <c r="F44" s="168"/>
      <c r="G44" s="168"/>
      <c r="H44" s="168"/>
      <c r="I44" s="168"/>
      <c r="J44" s="168"/>
      <c r="K44" s="168"/>
    </row>
    <row r="45" spans="2:11">
      <c r="B45" s="168"/>
      <c r="C45" s="168"/>
      <c r="D45" s="168"/>
      <c r="E45" s="168"/>
      <c r="F45" s="168"/>
      <c r="G45" s="168"/>
      <c r="H45" s="168"/>
      <c r="I45" s="168"/>
      <c r="J45" s="168"/>
      <c r="K45" s="168"/>
    </row>
    <row r="46" spans="2:11">
      <c r="B46" s="168"/>
      <c r="C46" s="168"/>
      <c r="D46" s="168"/>
      <c r="E46" s="168"/>
      <c r="F46" s="168"/>
      <c r="G46" s="168"/>
      <c r="H46" s="168"/>
      <c r="I46" s="168"/>
      <c r="J46" s="168"/>
      <c r="K46" s="168"/>
    </row>
    <row r="47" spans="2:11">
      <c r="B47" s="168"/>
      <c r="C47" s="168"/>
      <c r="D47" s="168"/>
      <c r="E47" s="168"/>
      <c r="F47" s="168"/>
      <c r="G47" s="168"/>
      <c r="H47" s="168"/>
      <c r="I47" s="168"/>
      <c r="J47" s="168"/>
      <c r="K47" s="168"/>
    </row>
    <row r="48" spans="2:11">
      <c r="B48" s="168"/>
      <c r="C48" s="168"/>
      <c r="D48" s="168"/>
      <c r="E48" s="168"/>
      <c r="F48" s="168"/>
      <c r="G48" s="168"/>
      <c r="H48" s="168"/>
      <c r="I48" s="168"/>
      <c r="J48" s="168"/>
      <c r="K48" s="168"/>
    </row>
    <row r="49" spans="2:11">
      <c r="B49" s="168"/>
      <c r="C49" s="168"/>
      <c r="D49" s="168"/>
      <c r="E49" s="168"/>
      <c r="F49" s="168"/>
      <c r="G49" s="168"/>
      <c r="H49" s="168"/>
      <c r="I49" s="168"/>
      <c r="J49" s="168"/>
      <c r="K49" s="168"/>
    </row>
  </sheetData>
  <mergeCells count="4">
    <mergeCell ref="D2:G2"/>
    <mergeCell ref="B4:J4"/>
    <mergeCell ref="D6:G6"/>
    <mergeCell ref="J6:J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10"/>
  <sheetViews>
    <sheetView showGridLines="0" workbookViewId="0">
      <selection activeCell="F18" sqref="F18"/>
    </sheetView>
  </sheetViews>
  <sheetFormatPr baseColWidth="10" defaultRowHeight="15"/>
  <cols>
    <col min="1" max="1" width="5.42578125" customWidth="1"/>
    <col min="2" max="2" width="31.42578125" customWidth="1"/>
    <col min="3" max="7" width="15.7109375" customWidth="1"/>
  </cols>
  <sheetData>
    <row r="1" spans="2:7" ht="21">
      <c r="B1" s="309" t="str">
        <f>'ESTADO RESULTADOS'!B1</f>
        <v>Modelo agrosostenible para la producción agrícola con el fin de promover la adaptación ante el cambio climático en el departamento de Bolívar. 
Cultivo de Yuca y Frijol Caupí</v>
      </c>
      <c r="C1" s="309"/>
      <c r="D1" s="309"/>
      <c r="E1" s="309"/>
      <c r="F1" s="309"/>
      <c r="G1" s="309"/>
    </row>
    <row r="2" spans="2:7" ht="21">
      <c r="B2" s="310" t="s">
        <v>46</v>
      </c>
      <c r="C2" s="310"/>
      <c r="D2" s="310"/>
      <c r="E2" s="310"/>
      <c r="F2" s="310"/>
      <c r="G2" s="310"/>
    </row>
    <row r="4" spans="2:7" ht="15.75">
      <c r="B4" s="27" t="s">
        <v>64</v>
      </c>
      <c r="C4" s="27" t="s">
        <v>55</v>
      </c>
      <c r="D4" s="27" t="s">
        <v>56</v>
      </c>
      <c r="E4" s="27" t="s">
        <v>57</v>
      </c>
      <c r="F4" s="27" t="s">
        <v>58</v>
      </c>
      <c r="G4" s="27" t="s">
        <v>59</v>
      </c>
    </row>
    <row r="5" spans="2:7" ht="15.75">
      <c r="B5" s="46" t="s">
        <v>65</v>
      </c>
      <c r="C5" s="19">
        <f>INGRESOS!C11</f>
        <v>19000000</v>
      </c>
      <c r="D5" s="19">
        <f>INGRESOS!D11</f>
        <v>19950000</v>
      </c>
      <c r="E5" s="19">
        <f>INGRESOS!E11</f>
        <v>20947500</v>
      </c>
      <c r="F5" s="19">
        <f>INGRESOS!F11</f>
        <v>21994875</v>
      </c>
      <c r="G5" s="19">
        <f>INGRESOS!G11</f>
        <v>23094618.75</v>
      </c>
    </row>
    <row r="6" spans="2:7" ht="15.75">
      <c r="B6" s="46" t="s">
        <v>60</v>
      </c>
      <c r="C6" s="19">
        <f>'COSTOS TOTALES'!C26</f>
        <v>1128000</v>
      </c>
      <c r="D6" s="19">
        <f>'COSTOS TOTALES'!D26</f>
        <v>1184400</v>
      </c>
      <c r="E6" s="19">
        <f>'COSTOS TOTALES'!E26</f>
        <v>1243620</v>
      </c>
      <c r="F6" s="19">
        <f>'COSTOS TOTALES'!F26</f>
        <v>1305801</v>
      </c>
      <c r="G6" s="19">
        <f>'COSTOS TOTALES'!G26</f>
        <v>1371091.05</v>
      </c>
    </row>
    <row r="7" spans="2:7" ht="15.75">
      <c r="B7" s="46" t="s">
        <v>61</v>
      </c>
      <c r="C7" s="19">
        <f>'COSTOS TOTALES'!C27</f>
        <v>8764900</v>
      </c>
      <c r="D7" s="19">
        <f>'COSTOS TOTALES'!D27</f>
        <v>9203145</v>
      </c>
      <c r="E7" s="19">
        <f>'COSTOS TOTALES'!E27</f>
        <v>9663302.25</v>
      </c>
      <c r="F7" s="19">
        <f>'COSTOS TOTALES'!F27</f>
        <v>10146467.362500001</v>
      </c>
      <c r="G7" s="19">
        <f>'COSTOS TOTALES'!G27</f>
        <v>10653790.730625002</v>
      </c>
    </row>
    <row r="8" spans="2:7" ht="15.75">
      <c r="B8" s="46" t="s">
        <v>62</v>
      </c>
      <c r="C8" s="19">
        <f>SUM(C6:C7)</f>
        <v>9892900</v>
      </c>
      <c r="D8" s="19">
        <f t="shared" ref="D8:G8" si="0">SUM(D6:D7)</f>
        <v>10387545</v>
      </c>
      <c r="E8" s="19">
        <f t="shared" si="0"/>
        <v>10906922.25</v>
      </c>
      <c r="F8" s="19">
        <f t="shared" si="0"/>
        <v>11452268.362500001</v>
      </c>
      <c r="G8" s="19">
        <f t="shared" si="0"/>
        <v>12024881.780625002</v>
      </c>
    </row>
    <row r="9" spans="2:7" ht="15.75">
      <c r="B9" s="46" t="s">
        <v>66</v>
      </c>
      <c r="C9" s="48">
        <f>(C6/(1-C7/C5))</f>
        <v>2093970.7477210776</v>
      </c>
      <c r="D9" s="48">
        <f t="shared" ref="D9:G9" si="1">(D6/(1-D7/D5))</f>
        <v>2198669.2851071316</v>
      </c>
      <c r="E9" s="48">
        <f t="shared" si="1"/>
        <v>2308602.7493624878</v>
      </c>
      <c r="F9" s="48">
        <f t="shared" si="1"/>
        <v>2424032.8868306126</v>
      </c>
      <c r="G9" s="48">
        <f t="shared" si="1"/>
        <v>2545234.5311721433</v>
      </c>
    </row>
    <row r="10" spans="2:7" ht="15.75">
      <c r="B10" s="46" t="s">
        <v>67</v>
      </c>
      <c r="C10" s="25">
        <f>C9/C5</f>
        <v>0.11020898672216198</v>
      </c>
      <c r="D10" s="25">
        <f t="shared" ref="D10:G10" si="2">D9/D5</f>
        <v>0.11020898672216198</v>
      </c>
      <c r="E10" s="25">
        <f t="shared" si="2"/>
        <v>0.11020898672216196</v>
      </c>
      <c r="F10" s="25">
        <f t="shared" si="2"/>
        <v>0.11020898672216198</v>
      </c>
      <c r="G10" s="25">
        <f t="shared" si="2"/>
        <v>0.11020898672216199</v>
      </c>
    </row>
  </sheetData>
  <mergeCells count="2">
    <mergeCell ref="B1:G1"/>
    <mergeCell ref="B2:G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32"/>
  <sheetViews>
    <sheetView showGridLines="0" workbookViewId="0">
      <selection activeCell="E6" sqref="E6"/>
    </sheetView>
  </sheetViews>
  <sheetFormatPr baseColWidth="10" defaultColWidth="11.42578125" defaultRowHeight="12.75"/>
  <cols>
    <col min="1" max="1" width="7.42578125" style="49" customWidth="1"/>
    <col min="2" max="2" width="12.42578125" style="49" customWidth="1"/>
    <col min="3" max="4" width="14.85546875" style="49" bestFit="1" customWidth="1"/>
    <col min="5" max="5" width="16.140625" style="49" customWidth="1"/>
    <col min="6" max="6" width="14.85546875" style="49" customWidth="1"/>
    <col min="7" max="8" width="16.28515625" style="49" bestFit="1" customWidth="1"/>
    <col min="9" max="16384" width="11.42578125" style="49"/>
  </cols>
  <sheetData>
    <row r="1" spans="2:8" ht="23.25">
      <c r="B1" s="50"/>
    </row>
    <row r="2" spans="2:8" ht="18.75">
      <c r="B2" s="324" t="s">
        <v>68</v>
      </c>
      <c r="C2" s="325"/>
      <c r="D2" s="325"/>
      <c r="E2" s="325"/>
      <c r="F2" s="325"/>
      <c r="G2" s="325"/>
      <c r="H2" s="325"/>
    </row>
    <row r="3" spans="2:8" ht="13.5" thickBot="1">
      <c r="B3" s="51"/>
      <c r="C3" s="51"/>
      <c r="D3" s="51"/>
      <c r="E3" s="51"/>
      <c r="F3" s="51"/>
      <c r="G3" s="51"/>
      <c r="H3" s="51"/>
    </row>
    <row r="4" spans="2:8">
      <c r="B4" s="78"/>
      <c r="C4" s="79">
        <v>0</v>
      </c>
      <c r="D4" s="79">
        <v>1</v>
      </c>
      <c r="E4" s="79">
        <v>2</v>
      </c>
      <c r="F4" s="79">
        <v>3</v>
      </c>
      <c r="G4" s="79">
        <v>4</v>
      </c>
      <c r="H4" s="79">
        <v>5</v>
      </c>
    </row>
    <row r="5" spans="2:8">
      <c r="B5" s="80" t="s">
        <v>69</v>
      </c>
      <c r="C5" s="52">
        <f>RENTABILIDAD!H20</f>
        <v>-32914900</v>
      </c>
      <c r="D5" s="52">
        <f>RENTABILIDAD!H21</f>
        <v>8279181.8181818184</v>
      </c>
      <c r="E5" s="52">
        <f>RENTABILIDAD!H22</f>
        <v>7902855.3719008248</v>
      </c>
      <c r="F5" s="52">
        <f>RENTABILIDAD!H23</f>
        <v>7543634.673178059</v>
      </c>
      <c r="G5" s="76">
        <f>RENTABILIDAD!H24</f>
        <v>7200742.1880336022</v>
      </c>
      <c r="H5" s="76">
        <f>RENTABILIDAD!H25</f>
        <v>14005160.635506313</v>
      </c>
    </row>
    <row r="6" spans="2:8" ht="13.5" thickBot="1">
      <c r="B6" s="81" t="s">
        <v>70</v>
      </c>
      <c r="C6" s="53">
        <f>+C5</f>
        <v>-32914900</v>
      </c>
      <c r="D6" s="53">
        <f>+D5+C6</f>
        <v>-24635718.18181818</v>
      </c>
      <c r="E6" s="53">
        <f>+E5+D6</f>
        <v>-16732862.809917355</v>
      </c>
      <c r="F6" s="54">
        <f>+F5+E6</f>
        <v>-9189228.136739295</v>
      </c>
      <c r="G6" s="54">
        <f t="shared" ref="G6:H6" si="0">+G5+F6</f>
        <v>-1988485.9487056928</v>
      </c>
      <c r="H6" s="54">
        <f t="shared" si="0"/>
        <v>12016674.686800621</v>
      </c>
    </row>
    <row r="9" spans="2:8">
      <c r="E9" s="49" t="s">
        <v>71</v>
      </c>
    </row>
    <row r="10" spans="2:8">
      <c r="E10" s="49" t="s">
        <v>72</v>
      </c>
    </row>
    <row r="12" spans="2:8" ht="13.5" thickBot="1"/>
    <row r="13" spans="2:8" ht="15" thickBot="1">
      <c r="B13" s="55"/>
      <c r="C13" s="55"/>
      <c r="D13" s="56"/>
      <c r="E13" s="57" t="s">
        <v>73</v>
      </c>
      <c r="F13" s="58"/>
      <c r="G13" s="77"/>
      <c r="H13" s="77"/>
    </row>
    <row r="14" spans="2:8">
      <c r="B14" s="59"/>
      <c r="C14" s="59"/>
      <c r="D14" s="59"/>
      <c r="E14" s="60">
        <v>2</v>
      </c>
      <c r="F14" s="61" t="s">
        <v>74</v>
      </c>
      <c r="G14" s="77"/>
      <c r="H14" s="77"/>
    </row>
    <row r="15" spans="2:8" ht="15" thickBot="1">
      <c r="B15" s="55"/>
      <c r="C15" s="55"/>
      <c r="D15" s="55"/>
      <c r="E15" s="62"/>
      <c r="F15" s="63"/>
      <c r="G15" s="77"/>
      <c r="H15" s="77"/>
    </row>
    <row r="16" spans="2:8" ht="14.25">
      <c r="B16" s="55"/>
      <c r="C16" s="55"/>
      <c r="D16" s="55"/>
    </row>
    <row r="17" spans="2:8" ht="14.25">
      <c r="B17" s="64"/>
      <c r="C17" s="65"/>
      <c r="D17" s="65"/>
      <c r="E17" s="65"/>
      <c r="F17" s="65"/>
      <c r="G17" s="65"/>
      <c r="H17" s="65"/>
    </row>
    <row r="18" spans="2:8" ht="14.25">
      <c r="B18" s="55"/>
      <c r="C18" s="55"/>
      <c r="D18" s="55"/>
      <c r="E18" s="66"/>
      <c r="F18" s="55"/>
      <c r="G18" s="55"/>
      <c r="H18" s="55"/>
    </row>
    <row r="19" spans="2:8" ht="14.25">
      <c r="B19" s="65"/>
      <c r="C19" s="65"/>
      <c r="D19" s="65"/>
      <c r="E19" s="65"/>
      <c r="F19" s="65"/>
      <c r="G19" s="65"/>
      <c r="H19" s="65"/>
    </row>
    <row r="20" spans="2:8" ht="14.25">
      <c r="B20" s="67"/>
      <c r="C20" s="55"/>
      <c r="D20" s="66"/>
      <c r="E20" s="66"/>
      <c r="F20" s="66"/>
      <c r="G20" s="66"/>
      <c r="H20" s="66"/>
    </row>
    <row r="21" spans="2:8" ht="14.25">
      <c r="B21" s="55"/>
      <c r="C21" s="56"/>
      <c r="D21" s="68"/>
      <c r="E21" s="68"/>
      <c r="F21" s="68"/>
      <c r="G21" s="68"/>
      <c r="H21" s="68"/>
    </row>
    <row r="22" spans="2:8" ht="14.25">
      <c r="B22" s="55"/>
      <c r="C22" s="56"/>
      <c r="D22" s="68"/>
      <c r="E22" s="68"/>
      <c r="F22" s="68"/>
      <c r="G22" s="68"/>
      <c r="H22" s="68"/>
    </row>
    <row r="23" spans="2:8" ht="14.25">
      <c r="B23" s="55"/>
      <c r="C23" s="56"/>
      <c r="D23" s="68"/>
      <c r="E23" s="68"/>
      <c r="F23" s="68"/>
      <c r="G23" s="68"/>
      <c r="H23" s="68"/>
    </row>
    <row r="24" spans="2:8" ht="14.25">
      <c r="B24" s="55"/>
      <c r="C24" s="56"/>
      <c r="D24" s="56"/>
      <c r="E24" s="56"/>
      <c r="F24" s="56"/>
      <c r="G24" s="56"/>
      <c r="H24" s="56"/>
    </row>
    <row r="25" spans="2:8" ht="14.25">
      <c r="B25" s="69"/>
      <c r="C25" s="56"/>
      <c r="D25" s="56"/>
      <c r="E25" s="56"/>
      <c r="F25" s="56"/>
      <c r="G25" s="56"/>
      <c r="H25" s="56"/>
    </row>
    <row r="26" spans="2:8" ht="14.25">
      <c r="B26" s="55"/>
      <c r="C26" s="70"/>
      <c r="D26" s="71"/>
      <c r="E26" s="71"/>
      <c r="F26" s="71"/>
      <c r="G26" s="71"/>
      <c r="H26" s="71"/>
    </row>
    <row r="27" spans="2:8" ht="14.25">
      <c r="B27" s="55"/>
      <c r="C27" s="70"/>
      <c r="D27" s="56"/>
      <c r="E27" s="56"/>
      <c r="F27" s="56"/>
      <c r="G27" s="56"/>
      <c r="H27" s="56"/>
    </row>
    <row r="28" spans="2:8" ht="14.25">
      <c r="B28" s="55"/>
      <c r="C28" s="55"/>
      <c r="D28" s="72"/>
      <c r="E28" s="72"/>
      <c r="F28" s="72"/>
      <c r="G28" s="72"/>
      <c r="H28" s="72"/>
    </row>
    <row r="29" spans="2:8" ht="14.25">
      <c r="B29" s="55"/>
      <c r="C29" s="55"/>
      <c r="D29" s="73"/>
      <c r="E29" s="73"/>
      <c r="F29" s="73"/>
      <c r="G29" s="73"/>
      <c r="H29" s="73"/>
    </row>
    <row r="30" spans="2:8" ht="14.25">
      <c r="B30" s="55"/>
      <c r="C30" s="55"/>
      <c r="D30" s="55"/>
      <c r="E30" s="55"/>
      <c r="F30" s="55"/>
      <c r="G30" s="55"/>
      <c r="H30" s="55"/>
    </row>
    <row r="31" spans="2:8">
      <c r="B31" s="74"/>
      <c r="C31" s="74"/>
      <c r="D31" s="75"/>
      <c r="E31" s="74"/>
      <c r="F31" s="74"/>
      <c r="G31" s="74"/>
      <c r="H31" s="74"/>
    </row>
    <row r="32" spans="2:8">
      <c r="B32" s="74"/>
      <c r="C32" s="74"/>
      <c r="D32" s="74"/>
      <c r="E32" s="74"/>
      <c r="F32" s="74"/>
      <c r="G32" s="74"/>
      <c r="H32" s="74"/>
    </row>
  </sheetData>
  <mergeCells count="1">
    <mergeCell ref="B2:H2"/>
  </mergeCells>
  <conditionalFormatting sqref="C6:H6">
    <cfRule type="cellIs" dxfId="1" priority="1" stopIfTrue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O20"/>
  <sheetViews>
    <sheetView showGridLines="0" topLeftCell="B1" workbookViewId="0">
      <selection activeCell="G18" sqref="G18"/>
    </sheetView>
  </sheetViews>
  <sheetFormatPr baseColWidth="10" defaultRowHeight="15"/>
  <cols>
    <col min="1" max="1" width="5.28515625" customWidth="1"/>
    <col min="2" max="2" width="17.42578125" bestFit="1" customWidth="1"/>
    <col min="3" max="3" width="12.28515625" bestFit="1" customWidth="1"/>
    <col min="4" max="4" width="12.42578125" bestFit="1" customWidth="1"/>
    <col min="5" max="6" width="13" bestFit="1" customWidth="1"/>
    <col min="7" max="7" width="14" bestFit="1" customWidth="1"/>
    <col min="8" max="8" width="13.7109375" bestFit="1" customWidth="1"/>
    <col min="9" max="9" width="12.7109375" bestFit="1" customWidth="1"/>
    <col min="10" max="10" width="12.42578125" bestFit="1" customWidth="1"/>
    <col min="11" max="11" width="13.28515625" bestFit="1" customWidth="1"/>
    <col min="12" max="12" width="13" bestFit="1" customWidth="1"/>
    <col min="13" max="15" width="12.7109375" bestFit="1" customWidth="1"/>
  </cols>
  <sheetData>
    <row r="1" spans="2:15" ht="23.25">
      <c r="B1" s="86"/>
    </row>
    <row r="3" spans="2:15" ht="15.75" thickBot="1">
      <c r="B3" s="326" t="s">
        <v>75</v>
      </c>
      <c r="C3" s="326"/>
      <c r="D3" s="326"/>
      <c r="E3" s="326"/>
      <c r="F3" s="326"/>
      <c r="G3" s="326"/>
    </row>
    <row r="4" spans="2:15">
      <c r="B4" s="327" t="s">
        <v>76</v>
      </c>
      <c r="C4" s="329" t="s">
        <v>77</v>
      </c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30"/>
    </row>
    <row r="5" spans="2:15">
      <c r="B5" s="328"/>
      <c r="C5" s="96" t="s">
        <v>78</v>
      </c>
      <c r="D5" s="96" t="s">
        <v>3</v>
      </c>
      <c r="E5" s="96" t="s">
        <v>4</v>
      </c>
      <c r="F5" s="96" t="s">
        <v>5</v>
      </c>
      <c r="G5" s="96" t="s">
        <v>6</v>
      </c>
      <c r="H5" s="96" t="s">
        <v>7</v>
      </c>
      <c r="I5" s="96" t="s">
        <v>8</v>
      </c>
      <c r="J5" s="96" t="s">
        <v>9</v>
      </c>
      <c r="K5" s="96" t="s">
        <v>10</v>
      </c>
      <c r="L5" s="96" t="s">
        <v>11</v>
      </c>
      <c r="M5" s="96" t="s">
        <v>12</v>
      </c>
      <c r="N5" s="96" t="s">
        <v>13</v>
      </c>
      <c r="O5" s="97" t="s">
        <v>79</v>
      </c>
    </row>
    <row r="6" spans="2:15">
      <c r="B6" s="87" t="s">
        <v>80</v>
      </c>
      <c r="C6" s="88"/>
      <c r="D6" s="88"/>
      <c r="E6" s="88"/>
      <c r="F6" s="88"/>
      <c r="G6" s="88"/>
      <c r="H6" s="3"/>
      <c r="I6" s="3"/>
      <c r="J6" s="3"/>
      <c r="K6" s="3"/>
      <c r="L6" s="3"/>
      <c r="M6" s="3"/>
      <c r="N6" s="3"/>
      <c r="O6" s="89"/>
    </row>
    <row r="7" spans="2:15">
      <c r="B7" s="90" t="s">
        <v>81</v>
      </c>
      <c r="C7" s="91"/>
      <c r="D7" s="91">
        <f>INGRESOS!C11/11</f>
        <v>1727272.7272727273</v>
      </c>
      <c r="E7" s="91">
        <f>D7</f>
        <v>1727272.7272727273</v>
      </c>
      <c r="F7" s="91">
        <f t="shared" ref="F7:N7" si="0">E7</f>
        <v>1727272.7272727273</v>
      </c>
      <c r="G7" s="91">
        <f t="shared" si="0"/>
        <v>1727272.7272727273</v>
      </c>
      <c r="H7" s="91">
        <f t="shared" si="0"/>
        <v>1727272.7272727273</v>
      </c>
      <c r="I7" s="91">
        <f t="shared" si="0"/>
        <v>1727272.7272727273</v>
      </c>
      <c r="J7" s="91">
        <f t="shared" si="0"/>
        <v>1727272.7272727273</v>
      </c>
      <c r="K7" s="91">
        <f t="shared" si="0"/>
        <v>1727272.7272727273</v>
      </c>
      <c r="L7" s="91">
        <f t="shared" si="0"/>
        <v>1727272.7272727273</v>
      </c>
      <c r="M7" s="91">
        <f t="shared" si="0"/>
        <v>1727272.7272727273</v>
      </c>
      <c r="N7" s="91">
        <f t="shared" si="0"/>
        <v>1727272.7272727273</v>
      </c>
      <c r="O7" s="98">
        <f>SUM(C7:N7)</f>
        <v>18999999.999999996</v>
      </c>
    </row>
    <row r="8" spans="2:15">
      <c r="B8" s="87" t="s">
        <v>41</v>
      </c>
      <c r="C8" s="88"/>
      <c r="D8" s="88"/>
      <c r="E8" s="88"/>
      <c r="F8" s="88"/>
      <c r="G8" s="88"/>
      <c r="H8" s="3"/>
      <c r="I8" s="3"/>
      <c r="J8" s="3"/>
      <c r="K8" s="3"/>
      <c r="L8" s="3"/>
      <c r="M8" s="3"/>
      <c r="N8" s="3"/>
      <c r="O8" s="89"/>
    </row>
    <row r="9" spans="2:15">
      <c r="B9" s="90" t="s">
        <v>29</v>
      </c>
      <c r="C9" s="91">
        <f>'MEMORIA COSTOS'!C22</f>
        <v>0</v>
      </c>
      <c r="D9" s="91">
        <f>'MEMORIA COSTOS'!D22</f>
        <v>0</v>
      </c>
      <c r="E9" s="91">
        <f>'MEMORIA COSTOS'!E22</f>
        <v>0</v>
      </c>
      <c r="F9" s="91">
        <f>'MEMORIA COSTOS'!F22</f>
        <v>0</v>
      </c>
      <c r="G9" s="91">
        <f>'MEMORIA COSTOS'!G22</f>
        <v>1050000</v>
      </c>
      <c r="H9" s="91">
        <f>'MEMORIA COSTOS'!H22</f>
        <v>0</v>
      </c>
      <c r="I9" s="91">
        <f>'MEMORIA COSTOS'!I22</f>
        <v>0</v>
      </c>
      <c r="J9" s="91">
        <f>'MEMORIA COSTOS'!J22</f>
        <v>0</v>
      </c>
      <c r="K9" s="91">
        <f>'MEMORIA COSTOS'!K22</f>
        <v>0</v>
      </c>
      <c r="L9" s="91">
        <f>'MEMORIA COSTOS'!L22</f>
        <v>0</v>
      </c>
      <c r="M9" s="91">
        <f>'MEMORIA COSTOS'!M22</f>
        <v>0</v>
      </c>
      <c r="N9" s="91">
        <f>'MEMORIA COSTOS'!N22</f>
        <v>0</v>
      </c>
      <c r="O9" s="98">
        <f>SUM(C9:N9)</f>
        <v>1050000</v>
      </c>
    </row>
    <row r="10" spans="2:15">
      <c r="B10" s="90" t="s">
        <v>26</v>
      </c>
      <c r="C10" s="91">
        <f>'MEMORIA COSTOS'!C16</f>
        <v>0</v>
      </c>
      <c r="D10" s="91">
        <f>'MEMORIA COSTOS'!D16</f>
        <v>0</v>
      </c>
      <c r="E10" s="91">
        <f>'MEMORIA COSTOS'!E16</f>
        <v>0</v>
      </c>
      <c r="F10" s="91">
        <f>'MEMORIA COSTOS'!F16</f>
        <v>0</v>
      </c>
      <c r="G10" s="91">
        <f>'MEMORIA COSTOS'!G16</f>
        <v>1128000</v>
      </c>
      <c r="H10" s="91">
        <f>'MEMORIA COSTOS'!H16</f>
        <v>0</v>
      </c>
      <c r="I10" s="91">
        <f>'MEMORIA COSTOS'!I16</f>
        <v>0</v>
      </c>
      <c r="J10" s="91">
        <f>'MEMORIA COSTOS'!J16</f>
        <v>0</v>
      </c>
      <c r="K10" s="91">
        <f>'MEMORIA COSTOS'!K16</f>
        <v>0</v>
      </c>
      <c r="L10" s="91">
        <f>'MEMORIA COSTOS'!L16</f>
        <v>0</v>
      </c>
      <c r="M10" s="91">
        <f>'MEMORIA COSTOS'!M16</f>
        <v>0</v>
      </c>
      <c r="N10" s="91">
        <f>'MEMORIA COSTOS'!N16</f>
        <v>0</v>
      </c>
      <c r="O10" s="98">
        <f>SUM(C10:N10)</f>
        <v>1128000</v>
      </c>
    </row>
    <row r="11" spans="2:15">
      <c r="B11" s="90"/>
      <c r="C11" s="88"/>
      <c r="D11" s="88"/>
      <c r="E11" s="88"/>
      <c r="F11" s="88"/>
      <c r="G11" s="88"/>
      <c r="H11" s="3"/>
      <c r="I11" s="3"/>
      <c r="J11" s="3"/>
      <c r="K11" s="3"/>
      <c r="L11" s="3"/>
      <c r="M11" s="3"/>
      <c r="N11" s="3"/>
      <c r="O11" s="89"/>
    </row>
    <row r="12" spans="2:15">
      <c r="B12" s="92" t="s">
        <v>82</v>
      </c>
      <c r="C12" s="93">
        <f>SUM(C9:C11)</f>
        <v>0</v>
      </c>
      <c r="D12" s="93">
        <f t="shared" ref="D12:N12" si="1">SUM(D9:D11)</f>
        <v>0</v>
      </c>
      <c r="E12" s="93">
        <f t="shared" si="1"/>
        <v>0</v>
      </c>
      <c r="F12" s="93">
        <f t="shared" si="1"/>
        <v>0</v>
      </c>
      <c r="G12" s="93">
        <f t="shared" si="1"/>
        <v>2178000</v>
      </c>
      <c r="H12" s="93">
        <f t="shared" si="1"/>
        <v>0</v>
      </c>
      <c r="I12" s="93">
        <f t="shared" si="1"/>
        <v>0</v>
      </c>
      <c r="J12" s="93">
        <f t="shared" si="1"/>
        <v>0</v>
      </c>
      <c r="K12" s="93">
        <f t="shared" si="1"/>
        <v>0</v>
      </c>
      <c r="L12" s="93">
        <f t="shared" si="1"/>
        <v>0</v>
      </c>
      <c r="M12" s="93">
        <f t="shared" si="1"/>
        <v>0</v>
      </c>
      <c r="N12" s="93">
        <f t="shared" si="1"/>
        <v>0</v>
      </c>
      <c r="O12" s="99">
        <f>SUM(C12:N12)</f>
        <v>2178000</v>
      </c>
    </row>
    <row r="13" spans="2:15">
      <c r="B13" s="90"/>
      <c r="C13" s="88"/>
      <c r="D13" s="88"/>
      <c r="E13" s="88"/>
      <c r="F13" s="88"/>
      <c r="G13" s="88"/>
      <c r="H13" s="3"/>
      <c r="I13" s="3"/>
      <c r="J13" s="3"/>
      <c r="K13" s="3"/>
      <c r="L13" s="3"/>
      <c r="M13" s="3"/>
      <c r="N13" s="3"/>
      <c r="O13" s="89"/>
    </row>
    <row r="14" spans="2:15">
      <c r="B14" s="87" t="s">
        <v>83</v>
      </c>
      <c r="C14" s="88"/>
      <c r="D14" s="88"/>
      <c r="E14" s="88"/>
      <c r="F14" s="88"/>
      <c r="G14" s="88"/>
      <c r="H14" s="3"/>
      <c r="I14" s="3"/>
      <c r="J14" s="3"/>
      <c r="K14" s="3"/>
      <c r="L14" s="3"/>
      <c r="M14" s="3"/>
      <c r="N14" s="3"/>
      <c r="O14" s="89"/>
    </row>
    <row r="15" spans="2:15">
      <c r="B15" s="90" t="s">
        <v>84</v>
      </c>
      <c r="C15" s="91">
        <f>C7-C12</f>
        <v>0</v>
      </c>
      <c r="D15" s="91">
        <f t="shared" ref="D15:N15" si="2">D7-D12</f>
        <v>1727272.7272727273</v>
      </c>
      <c r="E15" s="91">
        <f t="shared" si="2"/>
        <v>1727272.7272727273</v>
      </c>
      <c r="F15" s="91">
        <f t="shared" si="2"/>
        <v>1727272.7272727273</v>
      </c>
      <c r="G15" s="91">
        <f t="shared" si="2"/>
        <v>-450727.27272727271</v>
      </c>
      <c r="H15" s="91">
        <f t="shared" si="2"/>
        <v>1727272.7272727273</v>
      </c>
      <c r="I15" s="91">
        <f t="shared" si="2"/>
        <v>1727272.7272727273</v>
      </c>
      <c r="J15" s="91">
        <f t="shared" si="2"/>
        <v>1727272.7272727273</v>
      </c>
      <c r="K15" s="91">
        <f t="shared" si="2"/>
        <v>1727272.7272727273</v>
      </c>
      <c r="L15" s="91">
        <f t="shared" si="2"/>
        <v>1727272.7272727273</v>
      </c>
      <c r="M15" s="91">
        <f t="shared" si="2"/>
        <v>1727272.7272727273</v>
      </c>
      <c r="N15" s="91">
        <f t="shared" si="2"/>
        <v>1727272.7272727273</v>
      </c>
      <c r="O15" s="98">
        <f>O7-O12</f>
        <v>16821999.999999996</v>
      </c>
    </row>
    <row r="16" spans="2:15" ht="15.75" thickBot="1">
      <c r="B16" s="94" t="s">
        <v>85</v>
      </c>
      <c r="C16" s="95">
        <f>C15</f>
        <v>0</v>
      </c>
      <c r="D16" s="95">
        <f>D15+C16</f>
        <v>1727272.7272727273</v>
      </c>
      <c r="E16" s="95">
        <f t="shared" ref="E16:N16" si="3">E15+D16</f>
        <v>3454545.4545454546</v>
      </c>
      <c r="F16" s="95">
        <f t="shared" si="3"/>
        <v>5181818.1818181816</v>
      </c>
      <c r="G16" s="95">
        <f t="shared" si="3"/>
        <v>4731090.9090909092</v>
      </c>
      <c r="H16" s="95">
        <f t="shared" si="3"/>
        <v>6458363.6363636367</v>
      </c>
      <c r="I16" s="95">
        <f t="shared" si="3"/>
        <v>8185636.3636363642</v>
      </c>
      <c r="J16" s="95">
        <f t="shared" si="3"/>
        <v>9912909.0909090918</v>
      </c>
      <c r="K16" s="95">
        <f t="shared" si="3"/>
        <v>11640181.818181818</v>
      </c>
      <c r="L16" s="95">
        <f t="shared" si="3"/>
        <v>13367454.545454545</v>
      </c>
      <c r="M16" s="95">
        <f t="shared" si="3"/>
        <v>15094727.272727272</v>
      </c>
      <c r="N16" s="95">
        <f t="shared" si="3"/>
        <v>16822000</v>
      </c>
      <c r="O16" s="100"/>
    </row>
    <row r="18" spans="8:8">
      <c r="H18" s="1"/>
    </row>
    <row r="19" spans="8:8">
      <c r="H19" s="1"/>
    </row>
    <row r="20" spans="8:8">
      <c r="H20" s="1"/>
    </row>
  </sheetData>
  <mergeCells count="3">
    <mergeCell ref="B3:G3"/>
    <mergeCell ref="B4:B5"/>
    <mergeCell ref="C4:O4"/>
  </mergeCells>
  <conditionalFormatting sqref="C16:N16">
    <cfRule type="top10" dxfId="0" priority="1" stopIfTrue="1" bottom="1" rank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15"/>
  <sheetViews>
    <sheetView showGridLines="0" topLeftCell="B1" workbookViewId="0">
      <selection activeCell="K12" sqref="K12"/>
    </sheetView>
  </sheetViews>
  <sheetFormatPr baseColWidth="10" defaultRowHeight="15"/>
  <cols>
    <col min="2" max="2" width="54.5703125" customWidth="1"/>
    <col min="3" max="3" width="12.28515625" bestFit="1" customWidth="1"/>
    <col min="4" max="4" width="11.5703125" bestFit="1" customWidth="1"/>
    <col min="5" max="5" width="13.5703125" bestFit="1" customWidth="1"/>
    <col min="6" max="6" width="14.85546875" bestFit="1" customWidth="1"/>
    <col min="7" max="7" width="11.5703125" bestFit="1" customWidth="1"/>
    <col min="8" max="8" width="14.85546875" customWidth="1"/>
    <col min="9" max="9" width="19" bestFit="1" customWidth="1"/>
    <col min="10" max="10" width="13.140625" bestFit="1" customWidth="1"/>
  </cols>
  <sheetData>
    <row r="2" spans="2:10" ht="15.75">
      <c r="B2" s="232" t="s">
        <v>162</v>
      </c>
    </row>
    <row r="3" spans="2:10" ht="16.5" thickBot="1">
      <c r="D3" s="232"/>
      <c r="E3" s="232"/>
    </row>
    <row r="4" spans="2:10" ht="25.5">
      <c r="B4" s="247" t="s">
        <v>76</v>
      </c>
      <c r="C4" s="248" t="s">
        <v>43</v>
      </c>
      <c r="D4" s="248" t="s">
        <v>44</v>
      </c>
      <c r="E4" s="247" t="s">
        <v>163</v>
      </c>
      <c r="F4" s="247" t="s">
        <v>164</v>
      </c>
      <c r="G4" s="247" t="s">
        <v>165</v>
      </c>
      <c r="H4" s="247" t="s">
        <v>166</v>
      </c>
      <c r="I4" s="247" t="s">
        <v>167</v>
      </c>
      <c r="J4" s="249" t="s">
        <v>168</v>
      </c>
    </row>
    <row r="5" spans="2:10">
      <c r="B5" s="3"/>
      <c r="C5" s="3"/>
      <c r="D5" s="3"/>
      <c r="E5" s="3"/>
      <c r="F5" s="3"/>
      <c r="G5" s="26"/>
      <c r="H5" s="3"/>
      <c r="I5" s="3"/>
      <c r="J5" s="89"/>
    </row>
    <row r="6" spans="2:10">
      <c r="B6" s="233" t="str">
        <f>INVERSIONES!B5</f>
        <v>Sistema de riego por goteo fotovoltaico</v>
      </c>
      <c r="C6" s="233" t="str">
        <f>INVERSIONES!C5</f>
        <v>Obra</v>
      </c>
      <c r="D6" s="233">
        <f>INVERSIONES!D5</f>
        <v>1</v>
      </c>
      <c r="E6" s="234">
        <f>INVERSIONES!E5</f>
        <v>15000000</v>
      </c>
      <c r="F6" s="5">
        <f>E6*D6</f>
        <v>15000000</v>
      </c>
      <c r="G6" s="235">
        <v>10</v>
      </c>
      <c r="H6" s="5">
        <f>F6/G6</f>
        <v>1500000</v>
      </c>
      <c r="I6" s="5">
        <f>H6*5</f>
        <v>7500000</v>
      </c>
      <c r="J6" s="137">
        <f>F6-I6</f>
        <v>7500000</v>
      </c>
    </row>
    <row r="7" spans="2:10" ht="30">
      <c r="B7" s="233" t="str">
        <f>INVERSIONES!B6</f>
        <v>Electrobomba/motobomba electrica, Potencia: 3 Hp, Voltaje: 110 V</v>
      </c>
      <c r="C7" s="233" t="str">
        <f>INVERSIONES!C6</f>
        <v>equipo</v>
      </c>
      <c r="D7" s="233">
        <f>INVERSIONES!D6</f>
        <v>1</v>
      </c>
      <c r="E7" s="234">
        <f>INVERSIONES!E6</f>
        <v>5000000</v>
      </c>
      <c r="F7" s="5">
        <f t="shared" ref="F7:F8" si="0">E7*D7</f>
        <v>5000000</v>
      </c>
      <c r="G7" s="235">
        <v>10</v>
      </c>
      <c r="H7" s="5">
        <f t="shared" ref="H7:H8" si="1">F7/G7</f>
        <v>500000</v>
      </c>
      <c r="I7" s="5">
        <f t="shared" ref="I7:I8" si="2">H7*5</f>
        <v>2500000</v>
      </c>
      <c r="J7" s="137">
        <f t="shared" ref="J7:J8" si="3">F7-I7</f>
        <v>2500000</v>
      </c>
    </row>
    <row r="8" spans="2:10">
      <c r="B8" s="233" t="str">
        <f>INVERSIONES!B7</f>
        <v>Sensor</v>
      </c>
      <c r="C8" s="233" t="str">
        <f>INVERSIONES!C7</f>
        <v>equipo</v>
      </c>
      <c r="D8" s="233">
        <f>INVERSIONES!D7</f>
        <v>1</v>
      </c>
      <c r="E8" s="234">
        <f>INVERSIONES!E7</f>
        <v>5200000</v>
      </c>
      <c r="F8" s="5">
        <f t="shared" si="0"/>
        <v>5200000</v>
      </c>
      <c r="G8" s="235">
        <v>7</v>
      </c>
      <c r="H8" s="5">
        <f t="shared" si="1"/>
        <v>742857.14285714284</v>
      </c>
      <c r="I8" s="5">
        <f t="shared" si="2"/>
        <v>3714285.7142857141</v>
      </c>
      <c r="J8" s="137">
        <f t="shared" si="3"/>
        <v>1485714.2857142859</v>
      </c>
    </row>
    <row r="9" spans="2:10">
      <c r="B9" s="233"/>
      <c r="C9" s="233"/>
      <c r="D9" s="233"/>
      <c r="E9" s="234"/>
      <c r="F9" s="5"/>
      <c r="G9" s="235"/>
      <c r="H9" s="5"/>
      <c r="I9" s="5"/>
      <c r="J9" s="137"/>
    </row>
    <row r="10" spans="2:10">
      <c r="B10" s="233"/>
      <c r="C10" s="233"/>
      <c r="D10" s="233"/>
      <c r="E10" s="234"/>
      <c r="F10" s="5"/>
      <c r="G10" s="235"/>
      <c r="H10" s="5"/>
      <c r="I10" s="5"/>
      <c r="J10" s="137"/>
    </row>
    <row r="11" spans="2:10">
      <c r="B11" s="233"/>
      <c r="C11" s="233"/>
      <c r="D11" s="233"/>
      <c r="E11" s="233"/>
      <c r="F11" s="5"/>
      <c r="G11" s="235"/>
      <c r="H11" s="5"/>
      <c r="I11" s="5"/>
      <c r="J11" s="137"/>
    </row>
    <row r="12" spans="2:10">
      <c r="B12" s="233"/>
      <c r="C12" s="234"/>
      <c r="D12" s="234"/>
      <c r="E12" s="234"/>
      <c r="F12" s="5"/>
      <c r="G12" s="235"/>
      <c r="H12" s="5"/>
      <c r="I12" s="5"/>
      <c r="J12" s="137"/>
    </row>
    <row r="13" spans="2:10">
      <c r="B13" s="233"/>
      <c r="C13" s="234"/>
      <c r="D13" s="234"/>
      <c r="E13" s="234"/>
      <c r="F13" s="5"/>
      <c r="G13" s="235"/>
      <c r="H13" s="5"/>
      <c r="I13" s="5"/>
      <c r="J13" s="137"/>
    </row>
    <row r="14" spans="2:10">
      <c r="B14" s="233"/>
      <c r="C14" s="236"/>
      <c r="D14" s="237"/>
      <c r="E14" s="233"/>
      <c r="F14" s="8"/>
      <c r="G14" s="238"/>
      <c r="H14" s="8"/>
      <c r="I14" s="8"/>
      <c r="J14" s="239"/>
    </row>
    <row r="15" spans="2:10" ht="15.75" thickBot="1">
      <c r="B15" s="240" t="s">
        <v>51</v>
      </c>
      <c r="C15" s="241"/>
      <c r="D15" s="241"/>
      <c r="E15" s="242"/>
      <c r="F15" s="243">
        <f>SUM(F6:F14)</f>
        <v>25200000</v>
      </c>
      <c r="G15" s="244"/>
      <c r="H15" s="245">
        <f>SUM(H6:H14)</f>
        <v>2742857.1428571427</v>
      </c>
      <c r="I15" s="245">
        <f>SUM(I6:I14)</f>
        <v>13714285.714285715</v>
      </c>
      <c r="J15" s="246">
        <f>SUM(J6:J14)</f>
        <v>11485714.285714285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INVERSIONES</vt:lpstr>
      <vt:lpstr>CULTIVO</vt:lpstr>
      <vt:lpstr>ACOPIO</vt:lpstr>
      <vt:lpstr>MEMORIA COSTOS</vt:lpstr>
      <vt:lpstr>COSTOS TOTALES</vt:lpstr>
      <vt:lpstr>INGRESOS</vt:lpstr>
      <vt:lpstr>ESTADO RESULTADOS</vt:lpstr>
      <vt:lpstr>RENTABILIDAD</vt:lpstr>
      <vt:lpstr>PUNTO EQUILIBRIO</vt:lpstr>
      <vt:lpstr>REC</vt:lpstr>
      <vt:lpstr>CAPITAL TRABAJO</vt:lpstr>
      <vt:lpstr>DEPREC</vt:lpstr>
    </vt:vector>
  </TitlesOfParts>
  <Company>Agroproyectos 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www.agroproyectos.org</dc:creator>
  <cp:lastModifiedBy>Rolando Lopez martinez</cp:lastModifiedBy>
  <dcterms:created xsi:type="dcterms:W3CDTF">2010-12-21T22:12:15Z</dcterms:created>
  <dcterms:modified xsi:type="dcterms:W3CDTF">2026-04-21T16:44:07Z</dcterms:modified>
</cp:coreProperties>
</file>